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IPANJAN DUTTA\OneDrive\Desktop\"/>
    </mc:Choice>
  </mc:AlternateContent>
  <xr:revisionPtr revIDLastSave="1" documentId="13_ncr:1_{39258675-2ED1-45CE-B07F-D92369FE8376}" xr6:coauthVersionLast="36" xr6:coauthVersionMax="36" xr10:uidLastSave="{1C02E3CE-6134-4499-8CC3-4FBE1624BA60}"/>
  <bookViews>
    <workbookView xWindow="0" yWindow="0" windowWidth="28800" windowHeight="12225" activeTab="6" xr2:uid="{00000000-000D-0000-FFFF-FFFF00000000}"/>
  </bookViews>
  <sheets>
    <sheet name="Sheet1" sheetId="1" r:id="rId1"/>
    <sheet name="1 a &amp; b" sheetId="2" r:id="rId2"/>
    <sheet name="2" sheetId="5" r:id="rId3"/>
    <sheet name="3" sheetId="7" r:id="rId4"/>
    <sheet name="4 a,b" sheetId="9" r:id="rId5"/>
    <sheet name="5" sheetId="10" r:id="rId6"/>
    <sheet name="6" sheetId="12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N5" i="12" l="1"/>
  <c r="N3" i="12"/>
  <c r="H16" i="12"/>
  <c r="H8" i="12"/>
  <c r="H21" i="12"/>
  <c r="H5" i="12"/>
  <c r="H26" i="12"/>
  <c r="H13" i="12"/>
  <c r="H11" i="12"/>
  <c r="H24" i="12"/>
  <c r="H6" i="12"/>
  <c r="H14" i="12"/>
  <c r="H22" i="12"/>
  <c r="H7" i="12"/>
  <c r="H19" i="12"/>
  <c r="H10" i="12"/>
  <c r="H9" i="12"/>
  <c r="H25" i="12"/>
  <c r="H20" i="12"/>
  <c r="H2" i="12"/>
  <c r="H12" i="12"/>
  <c r="H15" i="12"/>
  <c r="H23" i="12"/>
  <c r="H18" i="12"/>
  <c r="H4" i="12"/>
  <c r="H17" i="12"/>
  <c r="H3" i="12"/>
  <c r="K4" i="10"/>
  <c r="J6" i="9"/>
  <c r="J5" i="9"/>
  <c r="H11" i="7" l="1"/>
  <c r="H2" i="7"/>
  <c r="H18" i="7"/>
  <c r="H6" i="7"/>
  <c r="H24" i="7"/>
  <c r="H13" i="7"/>
  <c r="H10" i="7"/>
  <c r="H20" i="7"/>
  <c r="H3" i="7"/>
  <c r="H12" i="7"/>
  <c r="H17" i="7"/>
  <c r="H5" i="7"/>
  <c r="H22" i="7"/>
  <c r="H15" i="7"/>
  <c r="H9" i="7"/>
  <c r="H25" i="7"/>
  <c r="H19" i="7"/>
  <c r="H4" i="7"/>
  <c r="H14" i="7"/>
  <c r="H16" i="7"/>
  <c r="H26" i="7"/>
  <c r="H21" i="7"/>
  <c r="H8" i="7"/>
  <c r="H23" i="7"/>
  <c r="H7" i="7"/>
</calcChain>
</file>

<file path=xl/sharedStrings.xml><?xml version="1.0" encoding="utf-8"?>
<sst xmlns="http://schemas.openxmlformats.org/spreadsheetml/2006/main" count="360" uniqueCount="48">
  <si>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</si>
  <si>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</si>
  <si>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</si>
  <si>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</si>
  <si>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</si>
  <si>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</si>
  <si>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</si>
  <si>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</si>
  <si>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</si>
  <si>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</si>
  <si>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</si>
  <si>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</si>
  <si>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</si>
  <si>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</si>
  <si>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</si>
  <si>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</si>
  <si>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</si>
  <si>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</si>
  <si>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</si>
  <si>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</si>
  <si>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</si>
  <si>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</si>
  <si>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</si>
  <si>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</si>
  <si>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</si>
  <si>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</si>
  <si>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</si>
  <si>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</si>
  <si>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</si>
  <si>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</si>
  <si>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</si>
  <si>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</si>
  <si>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</si>
  <si>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</si>
  <si>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</si>
  <si>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</si>
  <si>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</si>
  <si>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 xml:space="preserve"> </t>
  </si>
  <si>
    <t>Row Labels</t>
  </si>
  <si>
    <t>Grand Total</t>
  </si>
  <si>
    <t>StdDevp of Productivity_Score</t>
  </si>
  <si>
    <t>PEI (Productivity Efficiency Index)</t>
  </si>
  <si>
    <t>Task_completed</t>
  </si>
  <si>
    <t>AVG_Hours_Worked</t>
  </si>
  <si>
    <t>Tasks per Hour</t>
  </si>
  <si>
    <t>Max Tasks per Hour</t>
  </si>
  <si>
    <t>Max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</si>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</sst>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vertical="center"/>
    </xf>
    <xf numFmtId="2" fontId="2" fillId="3" borderId="5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 applyFont="1" applyAlignment="1"/>
    <xf numFmtId="2" fontId="2" fillId="3" borderId="8" xfId="0" applyNumberFormat="1" applyFont="1" applyFill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'1 a &amp; b'!$F$1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'1 a &amp; b'!$A$2:$C$6</c:f>
              <c:multiLvlStrCache>
                <c:ptCount val="5"/>
                <c:lvl>
                  <c:pt idx="0">
                    <c:v>IT</c:v>
                  </c:pt>
                  <c:pt idx="1">
                    <c:v>IT</c:v>
                  </c:pt>
                  <c:pt idx="2">
                    <c:v>IT</c:v>
                  </c:pt>
                  <c:pt idx="3">
                    <c:v>Marketing</c:v>
                  </c:pt>
                  <c:pt idx="4">
                    <c:v>IT</c:v>
                  </c:pt>
                </c:lvl>
                <c:lvl>
                  <c:pt idx="0">
                    <c:v>Rahul</c:v>
                  </c:pt>
                  <c:pt idx="1">
                    <c:v>Tanya</c:v>
                  </c:pt>
                  <c:pt idx="2">
                    <c:v>Rakesh</c:v>
                  </c:pt>
                  <c:pt idx="3">
                    <c:v>Neeraj</c:v>
                  </c:pt>
                  <c:pt idx="4">
                    <c:v>Riya</c:v>
                  </c:pt>
                </c:lvl>
                <c:lvl>
                  <c:pt idx="0">
                    <c:v>107</c:v>
                  </c:pt>
                  <c:pt idx="1">
                    <c:v>125</c:v>
                  </c:pt>
                  <c:pt idx="2">
                    <c:v>115</c:v>
                  </c:pt>
                  <c:pt idx="3">
                    <c:v>123</c:v>
                  </c:pt>
                  <c:pt idx="4">
                    <c:v>104</c:v>
                  </c:pt>
                </c:lvl>
              </c:multiLvlStrCache>
            </c:multiLvlStrRef>
          </c:cat>
          <c:val>
            <c:numRef>
              <c:f>'1 a &amp; b'!$F$2:$F$6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E-4A07-882B-82B3DE389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1044240"/>
        <c:axId val="10476513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 a &amp; b'!$D$1</c15:sqref>
                        </c15:formulaRef>
                      </c:ext>
                    </c:extLst>
                    <c:strCache>
                      <c:ptCount val="1"/>
                      <c:pt idx="0">
                        <c:v>Hours_Worked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'1 a &amp; b'!$A$2:$C$6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'1 a &amp; b'!$D$2:$D$6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47</c:v>
                      </c:pt>
                      <c:pt idx="2">
                        <c:v>48</c:v>
                      </c:pt>
                      <c:pt idx="3">
                        <c:v>46</c:v>
                      </c:pt>
                      <c:pt idx="4">
                        <c:v>45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9CE-4A07-882B-82B3DE3890A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b'!$E$1</c15:sqref>
                        </c15:formulaRef>
                      </c:ext>
                    </c:extLst>
                    <c:strCache>
                      <c:ptCount val="1"/>
                      <c:pt idx="0">
                        <c:v>Tasks_Completed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80</c:v>
                      </c:pt>
                      <c:pt idx="1">
                        <c:v>79</c:v>
                      </c:pt>
                      <c:pt idx="2">
                        <c:v>78</c:v>
                      </c:pt>
                      <c:pt idx="3">
                        <c:v>77</c:v>
                      </c:pt>
                      <c:pt idx="4">
                        <c:v>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CE-4A07-882B-82B3DE3890A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b'!$G$1</c15:sqref>
                        </c15:formulaRef>
                      </c:ext>
                    </c:extLst>
                    <c:strCache>
                      <c:ptCount val="1"/>
                      <c:pt idx="0">
                        <c:v>Performance_Rating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b'!$A$2:$C$6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IT</c:v>
                        </c:pt>
                        <c:pt idx="1">
                          <c:v>IT</c:v>
                        </c:pt>
                        <c:pt idx="2">
                          <c:v>IT</c:v>
                        </c:pt>
                        <c:pt idx="3">
                          <c:v>Marketing</c:v>
                        </c:pt>
                        <c:pt idx="4">
                          <c:v>IT</c:v>
                        </c:pt>
                      </c:lvl>
                      <c:lvl>
                        <c:pt idx="0">
                          <c:v>Rahul</c:v>
                        </c:pt>
                        <c:pt idx="1">
                          <c:v>Tanya</c:v>
                        </c:pt>
                        <c:pt idx="2">
                          <c:v>Rakesh</c:v>
                        </c:pt>
                        <c:pt idx="3">
                          <c:v>Neeraj</c:v>
                        </c:pt>
                        <c:pt idx="4">
                          <c:v>Riya</c:v>
                        </c:pt>
                      </c:lvl>
                      <c:lvl>
                        <c:pt idx="0">
                          <c:v>107</c:v>
                        </c:pt>
                        <c:pt idx="1">
                          <c:v>125</c:v>
                        </c:pt>
                        <c:pt idx="2">
                          <c:v>115</c:v>
                        </c:pt>
                        <c:pt idx="3">
                          <c:v>123</c:v>
                        </c:pt>
                        <c:pt idx="4">
                          <c:v>104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 a &amp; b'!$G$2:$G$6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CE-4A07-882B-82B3DE3890A3}"/>
                  </c:ext>
                </c:extLst>
              </c15:ser>
            </c15:filteredBarSeries>
          </c:ext>
        </c:extLst>
      </c:barChart>
      <c:catAx>
        <c:axId val="104104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51360"/>
        <c:crosses val="autoZero"/>
        <c:auto val="1"/>
        <c:lblAlgn val="ctr"/>
        <c:lblOffset val="100"/>
        <c:noMultiLvlLbl val="0"/>
      </c:catAx>
      <c:valAx>
        <c:axId val="104765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Relationship between Hours_Worked and Productivity_Score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'4 a,b'!$D$2:$D$26</c:f>
              <c:numCache>
                <c:formatCode>General</c:formatCode>
                <c:ptCount val="25"/>
                <c:pt idx="0">
                  <c:v>35</c:v>
                </c:pt>
                <c:pt idx="1">
                  <c:v>40</c:v>
                </c:pt>
                <c:pt idx="2">
                  <c:v>30</c:v>
                </c:pt>
                <c:pt idx="3">
                  <c:v>45</c:v>
                </c:pt>
                <c:pt idx="4">
                  <c:v>25</c:v>
                </c:pt>
                <c:pt idx="5">
                  <c:v>38</c:v>
                </c:pt>
                <c:pt idx="6">
                  <c:v>50</c:v>
                </c:pt>
                <c:pt idx="7">
                  <c:v>28</c:v>
                </c:pt>
                <c:pt idx="8">
                  <c:v>42</c:v>
                </c:pt>
                <c:pt idx="9">
                  <c:v>37</c:v>
                </c:pt>
                <c:pt idx="10">
                  <c:v>29</c:v>
                </c:pt>
                <c:pt idx="11">
                  <c:v>44</c:v>
                </c:pt>
                <c:pt idx="12">
                  <c:v>33</c:v>
                </c:pt>
                <c:pt idx="13">
                  <c:v>41</c:v>
                </c:pt>
                <c:pt idx="14">
                  <c:v>48</c:v>
                </c:pt>
                <c:pt idx="15">
                  <c:v>26</c:v>
                </c:pt>
                <c:pt idx="16">
                  <c:v>31</c:v>
                </c:pt>
                <c:pt idx="17">
                  <c:v>43</c:v>
                </c:pt>
                <c:pt idx="18">
                  <c:v>39</c:v>
                </c:pt>
                <c:pt idx="19">
                  <c:v>36</c:v>
                </c:pt>
                <c:pt idx="20">
                  <c:v>27</c:v>
                </c:pt>
                <c:pt idx="21">
                  <c:v>32</c:v>
                </c:pt>
                <c:pt idx="22">
                  <c:v>46</c:v>
                </c:pt>
                <c:pt idx="23">
                  <c:v>34</c:v>
                </c:pt>
                <c:pt idx="24">
                  <c:v>47</c:v>
                </c:pt>
              </c:numCache>
            </c:numRef>
          </c:xVal>
          <c:yVal>
            <c:numRef>
              <c:f>'4 a,b'!$F$2:$F$26</c:f>
              <c:numCache>
                <c:formatCode>General</c:formatCode>
                <c:ptCount val="25"/>
                <c:pt idx="0">
                  <c:v>80</c:v>
                </c:pt>
                <c:pt idx="1">
                  <c:v>90</c:v>
                </c:pt>
                <c:pt idx="2">
                  <c:v>70</c:v>
                </c:pt>
                <c:pt idx="3">
                  <c:v>95</c:v>
                </c:pt>
                <c:pt idx="4">
                  <c:v>60</c:v>
                </c:pt>
                <c:pt idx="5">
                  <c:v>85</c:v>
                </c:pt>
                <c:pt idx="6">
                  <c:v>100</c:v>
                </c:pt>
                <c:pt idx="7">
                  <c:v>65</c:v>
                </c:pt>
                <c:pt idx="8">
                  <c:v>92</c:v>
                </c:pt>
                <c:pt idx="9">
                  <c:v>83</c:v>
                </c:pt>
                <c:pt idx="10">
                  <c:v>68</c:v>
                </c:pt>
                <c:pt idx="11">
                  <c:v>94</c:v>
                </c:pt>
                <c:pt idx="12">
                  <c:v>75</c:v>
                </c:pt>
                <c:pt idx="13">
                  <c:v>89</c:v>
                </c:pt>
                <c:pt idx="14">
                  <c:v>98</c:v>
                </c:pt>
                <c:pt idx="15">
                  <c:v>62</c:v>
                </c:pt>
                <c:pt idx="16">
                  <c:v>72</c:v>
                </c:pt>
                <c:pt idx="17">
                  <c:v>93</c:v>
                </c:pt>
                <c:pt idx="18">
                  <c:v>87</c:v>
                </c:pt>
                <c:pt idx="19">
                  <c:v>78</c:v>
                </c:pt>
                <c:pt idx="20">
                  <c:v>64</c:v>
                </c:pt>
                <c:pt idx="21">
                  <c:v>74</c:v>
                </c:pt>
                <c:pt idx="22">
                  <c:v>96</c:v>
                </c:pt>
                <c:pt idx="23">
                  <c:v>76</c:v>
                </c:pt>
                <c:pt idx="24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4-4CB3-8ED2-EAEEC1BC3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709696"/>
        <c:axId val="1723310816"/>
      </c:scatterChart>
      <c:valAx>
        <c:axId val="172770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Productivity</a:t>
                </a:r>
                <a:r>
                  <a:rPr lang="en-IN" baseline="0"/>
                  <a:t>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10816"/>
        <c:crosses val="autoZero"/>
        <c:crossBetween val="midCat"/>
      </c:valAx>
      <c:valAx>
        <c:axId val="17233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Hours</a:t>
                </a:r>
                <a:r>
                  <a:rPr lang="en-IN" baseline="0"/>
                  <a:t> Worked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0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29</xdr:row>
      <xdr:rowOff>85725</xdr:rowOff>
    </xdr:from>
    <xdr:to>
      <xdr:col>19</xdr:col>
      <xdr:colOff>200025</xdr:colOff>
      <xdr:row>61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04BC0-1B20-4ABB-9178-5A4765F62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657225</xdr:colOff>
      <xdr:row>6</xdr:row>
      <xdr:rowOff>38100</xdr:rowOff>
    </xdr:from>
    <xdr:to>
      <xdr:col>16</xdr:col>
      <xdr:colOff>104775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0A9A30-7CED-4015-809F-0A5896F59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PANJAN DUTTA" refreshedDate="46090.506301388887" createdVersion="6" refreshedVersion="6" minRefreshableVersion="3" recordCount="25" xr:uid="{811AD155-AD2D-4019-8279-39828E503C05}">
  <cacheSource type="worksheet">
    <worksheetSource name="Table15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s v="Aakash"/>
    <x v="0"/>
    <n v="35"/>
    <n v="50"/>
    <n v="80"/>
    <n v="4"/>
  </r>
  <r>
    <n v="102"/>
    <s v="Meera"/>
    <x v="1"/>
    <n v="40"/>
    <n v="65"/>
    <n v="90"/>
    <n v="5"/>
  </r>
  <r>
    <n v="103"/>
    <s v="Suresh"/>
    <x v="2"/>
    <n v="30"/>
    <n v="40"/>
    <n v="70"/>
    <n v="3"/>
  </r>
  <r>
    <n v="104"/>
    <s v="Riya"/>
    <x v="3"/>
    <n v="45"/>
    <n v="75"/>
    <n v="95"/>
    <n v="5"/>
  </r>
  <r>
    <n v="105"/>
    <s v="Prakash"/>
    <x v="4"/>
    <n v="25"/>
    <n v="30"/>
    <n v="60"/>
    <n v="2"/>
  </r>
  <r>
    <n v="106"/>
    <s v="Neha"/>
    <x v="0"/>
    <n v="38"/>
    <n v="58"/>
    <n v="85"/>
    <n v="4"/>
  </r>
  <r>
    <n v="107"/>
    <s v="Rahul"/>
    <x v="3"/>
    <n v="50"/>
    <n v="80"/>
    <n v="100"/>
    <n v="5"/>
  </r>
  <r>
    <n v="108"/>
    <s v="Priya"/>
    <x v="2"/>
    <n v="28"/>
    <n v="35"/>
    <n v="65"/>
    <n v="3"/>
  </r>
  <r>
    <n v="109"/>
    <s v="Kunal"/>
    <x v="1"/>
    <n v="42"/>
    <n v="70"/>
    <n v="92"/>
    <n v="5"/>
  </r>
  <r>
    <n v="110"/>
    <s v="Sneha"/>
    <x v="0"/>
    <n v="37"/>
    <n v="55"/>
    <n v="83"/>
    <n v="4"/>
  </r>
  <r>
    <n v="111"/>
    <s v="Amit"/>
    <x v="4"/>
    <n v="29"/>
    <n v="38"/>
    <n v="68"/>
    <n v="3"/>
  </r>
  <r>
    <n v="112"/>
    <s v="Pooja"/>
    <x v="1"/>
    <n v="44"/>
    <n v="73"/>
    <n v="94"/>
    <n v="5"/>
  </r>
  <r>
    <n v="113"/>
    <s v="Varun"/>
    <x v="2"/>
    <n v="33"/>
    <n v="45"/>
    <n v="75"/>
    <n v="3"/>
  </r>
  <r>
    <n v="114"/>
    <s v="Deepak"/>
    <x v="0"/>
    <n v="41"/>
    <n v="66"/>
    <n v="89"/>
    <n v="4"/>
  </r>
  <r>
    <n v="115"/>
    <s v="Rakesh"/>
    <x v="3"/>
    <n v="48"/>
    <n v="78"/>
    <n v="98"/>
    <n v="5"/>
  </r>
  <r>
    <n v="116"/>
    <s v="Kavita"/>
    <x v="4"/>
    <n v="26"/>
    <n v="32"/>
    <n v="62"/>
    <n v="2"/>
  </r>
  <r>
    <n v="117"/>
    <s v="Sanjay"/>
    <x v="2"/>
    <n v="31"/>
    <n v="42"/>
    <n v="72"/>
    <n v="3"/>
  </r>
  <r>
    <n v="118"/>
    <s v="Arjun"/>
    <x v="1"/>
    <n v="43"/>
    <n v="75"/>
    <n v="93"/>
    <n v="5"/>
  </r>
  <r>
    <n v="119"/>
    <s v="Anjali"/>
    <x v="3"/>
    <n v="39"/>
    <n v="60"/>
    <n v="87"/>
    <n v="4"/>
  </r>
  <r>
    <n v="120"/>
    <s v="Suman"/>
    <x v="0"/>
    <n v="36"/>
    <n v="52"/>
    <n v="78"/>
    <n v="4"/>
  </r>
  <r>
    <n v="121"/>
    <s v="Mohan"/>
    <x v="4"/>
    <n v="27"/>
    <n v="34"/>
    <n v="64"/>
    <n v="2"/>
  </r>
  <r>
    <n v="122"/>
    <s v="Jyoti"/>
    <x v="2"/>
    <n v="32"/>
    <n v="44"/>
    <n v="74"/>
    <n v="3"/>
  </r>
  <r>
    <n v="123"/>
    <s v="Neeraj"/>
    <x v="1"/>
    <n v="46"/>
    <n v="77"/>
    <n v="96"/>
    <n v="5"/>
  </r>
  <r>
    <n v="124"/>
    <s v="Akash"/>
    <x v="0"/>
    <n v="34"/>
    <n v="48"/>
    <n v="76"/>
    <n v="3"/>
  </r>
  <r>
    <n v="125"/>
    <s v="Tanya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0CC8FA-F074-49F1-A08C-EC9BF01B53D1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7" firstHeaderRow="1" firstDataRow="1" firstDataCol="1"/>
  <pivotFields count="7">
    <pivotField showAll="0"/>
    <pivotField showAll="0"/>
    <pivotField axis="axisRow" showAll="0" sortType="descending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p of Productivity_Score" fld="5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1E4D3-FD8A-438C-A063-4824E4D2BB6A}" name="Table1" displayName="Table1" ref="A1:G26" totalsRowShown="0" headerRowDxfId="73" dataDxfId="71" headerRowBorderDxfId="72" tableBorderDxfId="70" totalsRowBorderDxfId="69">
  <autoFilter ref="A1:G26" xr:uid="{D8C2862E-D3BE-4987-AB5F-A2D44DBDFFCC}"/>
  <tableColumns count="7">
    <tableColumn id="1" xr3:uid="{FEB86164-4979-43EF-A49A-860ABBBFED5C}" name="Employee_ID" dataDxfId="68"/>
    <tableColumn id="2" xr3:uid="{DCC428A8-A63F-4878-A3AE-730CD550F93B}" name="Name" dataDxfId="67"/>
    <tableColumn id="3" xr3:uid="{58B28942-3D50-4E75-803A-D7B5F88884BE}" name="Department" dataDxfId="66"/>
    <tableColumn id="4" xr3:uid="{B0EBB7ED-A620-4C66-ACA2-21532E64A95C}" name="Hours_Worked" dataDxfId="65"/>
    <tableColumn id="5" xr3:uid="{116FDF64-AEA8-4B7B-9C6A-B04F431BF1D8}" name="Tasks_Completed" dataDxfId="64"/>
    <tableColumn id="6" xr3:uid="{B3007A66-EF55-494C-BB6F-E7CE8FED67BA}" name="Productivity_Score" dataDxfId="63"/>
    <tableColumn id="7" xr3:uid="{996EFD33-4F11-4EFA-8F8D-C279D193F37B}" name="Performance_Rating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2C7FF-068C-45E5-BDD1-4BFAC910FA00}" name="Table14" displayName="Table14" ref="A1:G26" totalsRowShown="0" headerRowDxfId="61" dataDxfId="59" headerRowBorderDxfId="60" tableBorderDxfId="58" totalsRowBorderDxfId="57">
  <autoFilter ref="A1:G26" xr:uid="{18D9CDBA-DCEB-4870-BBA2-0B43A1350A2F}">
    <filterColumn colId="5">
      <top10 val="5" filterVal="95"/>
    </filterColumn>
  </autoFilter>
  <sortState ref="A2:G26">
    <sortCondition descending="1" ref="F2:F26"/>
  </sortState>
  <tableColumns count="7">
    <tableColumn id="1" xr3:uid="{D9679FF8-6C79-4A8A-98BD-9CDDC7CBA626}" name="Employee_ID" dataDxfId="56"/>
    <tableColumn id="2" xr3:uid="{603B8A33-987A-4A4E-B23E-604E339A564A}" name="Name" dataDxfId="55"/>
    <tableColumn id="3" xr3:uid="{60D546EB-1741-426B-BBD7-FAE6C67A1FF7}" name="Department" dataDxfId="54"/>
    <tableColumn id="4" xr3:uid="{EE6171B0-CDA8-406A-A470-4DB690534A6C}" name="Hours_Worked" dataDxfId="53"/>
    <tableColumn id="5" xr3:uid="{C5A551EA-502F-4817-9D3F-F0771E705EB5}" name="Tasks_Completed" dataDxfId="52"/>
    <tableColumn id="6" xr3:uid="{ABECAF65-8AAC-4CAC-9A4A-48A1F57C75A0}" name="Productivity_Score" dataDxfId="51"/>
    <tableColumn id="7" xr3:uid="{6A241824-D296-4A6A-93F6-80D903ECC388}" name="Performance_Rating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6FF4F8-3D0E-40A0-BEEB-599A62E8B71C}" name="Table16" displayName="Table16" ref="A1:H26" totalsRowShown="0" headerRowDxfId="49" dataDxfId="47" headerRowBorderDxfId="48" tableBorderDxfId="46" totalsRowBorderDxfId="45">
  <autoFilter ref="A1:H26" xr:uid="{D8C2862E-D3BE-4987-AB5F-A2D44DBDFFCC}">
    <filterColumn colId="7">
      <top10 val="3" filterVal="10.813953488372093"/>
    </filterColumn>
  </autoFilter>
  <sortState ref="A2:H26">
    <sortCondition descending="1" ref="H1:H26"/>
  </sortState>
  <tableColumns count="8">
    <tableColumn id="1" xr3:uid="{DEE6F845-B6EE-4494-9D48-9B2C2052D6CC}" name="Employee_ID" dataDxfId="44"/>
    <tableColumn id="2" xr3:uid="{23A4526F-7BB4-4F73-A6DE-8C48C704F830}" name="Name" dataDxfId="43"/>
    <tableColumn id="3" xr3:uid="{EBF37DC2-E773-4D2C-A82F-6737C0B6C31D}" name="Department" dataDxfId="42"/>
    <tableColumn id="4" xr3:uid="{82174B07-FFE5-443F-9D3A-DDEFDD7CB0FD}" name="Hours_Worked" dataDxfId="41"/>
    <tableColumn id="5" xr3:uid="{84C78C54-845A-4950-915D-06A444462537}" name="Tasks_Completed" dataDxfId="40"/>
    <tableColumn id="6" xr3:uid="{1C571156-2E26-4D1A-A96D-4DB015FB068F}" name="Productivity_Score" dataDxfId="39"/>
    <tableColumn id="7" xr3:uid="{86572A97-F475-4044-91D2-A6F87AEA98F2}" name="Performance_Rating" dataDxfId="38"/>
    <tableColumn id="8" xr3:uid="{B668613E-78E4-4549-BD52-C66B5FF3035A}" name="PEI (Productivity Efficiency Index)" dataDxfId="37">
      <calculatedColumnFormula>Table16[[#This Row],[Productivity_Score]]*Table16[[#This Row],[Performance_Rating]]/Table16[[#This Row],[Hours_Worked]]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C2578B-DE21-4BE1-BCD4-21B3A639B706}" name="Table13" displayName="Table13" ref="A1:G26" totalsRowShown="0" headerRowDxfId="36" dataDxfId="35" headerRowBorderDxfId="33" tableBorderDxfId="34" totalsRowBorderDxfId="32">
  <autoFilter ref="A1:G26" xr:uid="{D8C2862E-D3BE-4987-AB5F-A2D44DBDFFCC}"/>
  <tableColumns count="7">
    <tableColumn id="1" xr3:uid="{A0FBCF9A-3A63-4FA6-9898-A32B30F99739}" name="Employee_ID" dataDxfId="31"/>
    <tableColumn id="2" xr3:uid="{C605F40B-196D-4F99-A8FE-9280FB862D24}" name="Name" dataDxfId="30"/>
    <tableColumn id="3" xr3:uid="{E9705346-B954-4DB6-9EA9-39C4671486A4}" name="Department" dataDxfId="29"/>
    <tableColumn id="4" xr3:uid="{AA17B257-039B-405D-A652-DF30E80F0529}" name="Hours_Worked" dataDxfId="28"/>
    <tableColumn id="5" xr3:uid="{88E5BB42-DDF6-4A32-9734-C1D3F8B6F0B5}" name="Tasks_Completed" dataDxfId="27"/>
    <tableColumn id="6" xr3:uid="{509F9560-8853-4D52-97D6-8124B905BDA3}" name="Productivity_Score" dataDxfId="26"/>
    <tableColumn id="7" xr3:uid="{85AF0A32-1E72-42A2-82EA-B26B6F8F2EBF}" name="Performance_Rating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A03EA-E9B3-49CF-ACEA-705FD938A3DC}" name="Table135" displayName="Table135" ref="A1:G26" totalsRowShown="0" headerRowDxfId="24" dataDxfId="23" headerRowBorderDxfId="21" tableBorderDxfId="22" totalsRowBorderDxfId="20">
  <autoFilter ref="A1:G26" xr:uid="{295D0267-639E-4BE3-8330-C7A907CF5592}">
    <filterColumn colId="3">
      <customFilters>
        <customFilter operator="lessThan" val="37.04"/>
      </customFilters>
    </filterColumn>
    <filterColumn colId="6">
      <customFilters>
        <customFilter operator="greaterThanOrEqual" val="4"/>
      </customFilters>
    </filterColumn>
  </autoFilter>
  <sortState ref="A2:G26">
    <sortCondition descending="1" ref="G1:G26"/>
  </sortState>
  <tableColumns count="7">
    <tableColumn id="1" xr3:uid="{5DCFE0D2-23C7-4FAB-B20B-AB780510935E}" name="Employee_ID" dataDxfId="19"/>
    <tableColumn id="2" xr3:uid="{E1FDC49D-E7D6-4C9B-9CEC-6040D369C20C}" name="Name" dataDxfId="18"/>
    <tableColumn id="3" xr3:uid="{D343DB9A-065B-4585-962E-A2A53B5A2906}" name="Department" dataDxfId="17"/>
    <tableColumn id="4" xr3:uid="{01E108CE-5B82-428D-B98C-6EB4EE7DB38E}" name="Hours_Worked" dataDxfId="16"/>
    <tableColumn id="5" xr3:uid="{65054528-A534-49AB-8ADB-0C5BFF36A0D8}" name="Tasks_Completed" dataDxfId="15"/>
    <tableColumn id="6" xr3:uid="{BF87F1D2-928E-4FF4-B370-08BF27EB6359}" name="Productivity_Score" dataDxfId="14"/>
    <tableColumn id="7" xr3:uid="{CD3FBFBF-85C0-4C29-BC49-50DDD05077EB}" name="Performance_Rating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DCB34F-6F49-4B0C-BF89-41B32540E0D1}" name="Table17" displayName="Table17" ref="A1:H26" totalsRowShown="0" headerRowDxfId="12" dataDxfId="11" headerRowBorderDxfId="9" tableBorderDxfId="10" totalsRowBorderDxfId="8">
  <autoFilter ref="A1:H26" xr:uid="{D8C2862E-D3BE-4987-AB5F-A2D44DBDFFCC}"/>
  <sortState ref="A2:H26">
    <sortCondition descending="1" ref="H1:H26"/>
  </sortState>
  <tableColumns count="8">
    <tableColumn id="1" xr3:uid="{70843179-AA85-4051-9440-1B1838C915C2}" name="Employee_ID" dataDxfId="7"/>
    <tableColumn id="2" xr3:uid="{8D6DCD93-0DF9-4EB3-B45E-FA6A038DB3C4}" name="Name" dataDxfId="6"/>
    <tableColumn id="3" xr3:uid="{E0BB6C10-7115-4428-89A4-D4ACE971162E}" name="Department" dataDxfId="5"/>
    <tableColumn id="4" xr3:uid="{88DC0C02-92CC-4B69-A3CF-9ED3E088340A}" name="Hours_Worked" dataDxfId="4"/>
    <tableColumn id="5" xr3:uid="{D179A97D-79DE-4A4D-A1FA-DC6E15F2DB96}" name="Tasks_Completed" dataDxfId="3"/>
    <tableColumn id="6" xr3:uid="{6F04D747-8B0F-47CD-8D0B-874A117FB83C}" name="Productivity_Score" dataDxfId="2"/>
    <tableColumn id="7" xr3:uid="{B62F9DF1-ACA6-4AA7-BE6B-8D2287F97487}" name="Performance_Rating" dataDxfId="1"/>
    <tableColumn id="8" xr3:uid="{85B49C10-A9F2-4D30-A447-71C4EE5D5CBE}" name="Tasks per Hour" dataDxfId="0">
      <calculatedColumnFormula>Table17[[#This Row],[Tasks_Completed]]/Table17[[#This Row],[Hours_Worked]]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A2" sqref="A2:G26"/>
    </sheetView>
  </sheetViews>
  <sheetFormatPr defaultColWidth="12.5703125" defaultRowHeight="15.75" customHeight="1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</cols>
  <sheetData>
    <row r="1" spans="1:7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t="15.75" customHeight="1" x14ac:dyDescent="0.25">
      <c r="A2" s="3">
        <v>101</v>
      </c>
      <c r="B2" s="1" t="s">
        <v>7</v>
      </c>
      <c r="C2" s="1" t="s">
        <v>8</v>
      </c>
      <c r="D2" s="1">
        <v>35</v>
      </c>
      <c r="E2" s="1">
        <v>50</v>
      </c>
      <c r="F2" s="1">
        <v>80</v>
      </c>
      <c r="G2" s="5">
        <v>4</v>
      </c>
    </row>
    <row r="3" spans="1:7" ht="15.75" customHeight="1" x14ac:dyDescent="0.25">
      <c r="A3" s="4">
        <v>102</v>
      </c>
      <c r="B3" s="2" t="s">
        <v>9</v>
      </c>
      <c r="C3" s="2" t="s">
        <v>10</v>
      </c>
      <c r="D3" s="2">
        <v>40</v>
      </c>
      <c r="E3" s="2">
        <v>65</v>
      </c>
      <c r="F3" s="2">
        <v>90</v>
      </c>
      <c r="G3" s="6">
        <v>5</v>
      </c>
    </row>
    <row r="4" spans="1:7" ht="15.75" customHeight="1" x14ac:dyDescent="0.25">
      <c r="A4" s="3">
        <v>103</v>
      </c>
      <c r="B4" s="1" t="s">
        <v>11</v>
      </c>
      <c r="C4" s="1" t="s">
        <v>12</v>
      </c>
      <c r="D4" s="1">
        <v>30</v>
      </c>
      <c r="E4" s="1">
        <v>40</v>
      </c>
      <c r="F4" s="1">
        <v>70</v>
      </c>
      <c r="G4" s="5">
        <v>3</v>
      </c>
    </row>
    <row r="5" spans="1:7" ht="15.75" customHeight="1" x14ac:dyDescent="0.25">
      <c r="A5" s="4">
        <v>104</v>
      </c>
      <c r="B5" s="2" t="s">
        <v>13</v>
      </c>
      <c r="C5" s="2" t="s">
        <v>14</v>
      </c>
      <c r="D5" s="2">
        <v>45</v>
      </c>
      <c r="E5" s="2">
        <v>75</v>
      </c>
      <c r="F5" s="2">
        <v>95</v>
      </c>
      <c r="G5" s="6">
        <v>5</v>
      </c>
    </row>
    <row r="6" spans="1:7" ht="15.75" customHeight="1" x14ac:dyDescent="0.25">
      <c r="A6" s="3">
        <v>105</v>
      </c>
      <c r="B6" s="1" t="s">
        <v>15</v>
      </c>
      <c r="C6" s="1" t="s">
        <v>16</v>
      </c>
      <c r="D6" s="1">
        <v>25</v>
      </c>
      <c r="E6" s="1">
        <v>30</v>
      </c>
      <c r="F6" s="1">
        <v>60</v>
      </c>
      <c r="G6" s="5">
        <v>2</v>
      </c>
    </row>
    <row r="7" spans="1:7" ht="15.75" customHeight="1" x14ac:dyDescent="0.25">
      <c r="A7" s="4">
        <v>106</v>
      </c>
      <c r="B7" s="2" t="s">
        <v>17</v>
      </c>
      <c r="C7" s="2" t="s">
        <v>8</v>
      </c>
      <c r="D7" s="2">
        <v>38</v>
      </c>
      <c r="E7" s="2">
        <v>58</v>
      </c>
      <c r="F7" s="2">
        <v>85</v>
      </c>
      <c r="G7" s="6">
        <v>4</v>
      </c>
    </row>
    <row r="8" spans="1:7" ht="15.75" customHeight="1" x14ac:dyDescent="0.25">
      <c r="A8" s="3">
        <v>107</v>
      </c>
      <c r="B8" s="1" t="s">
        <v>18</v>
      </c>
      <c r="C8" s="1" t="s">
        <v>14</v>
      </c>
      <c r="D8" s="1">
        <v>50</v>
      </c>
      <c r="E8" s="1">
        <v>80</v>
      </c>
      <c r="F8" s="1">
        <v>100</v>
      </c>
      <c r="G8" s="5">
        <v>5</v>
      </c>
    </row>
    <row r="9" spans="1:7" ht="15.75" customHeight="1" x14ac:dyDescent="0.25">
      <c r="A9" s="4">
        <v>108</v>
      </c>
      <c r="B9" s="2" t="s">
        <v>19</v>
      </c>
      <c r="C9" s="2" t="s">
        <v>12</v>
      </c>
      <c r="D9" s="2">
        <v>28</v>
      </c>
      <c r="E9" s="2">
        <v>35</v>
      </c>
      <c r="F9" s="2">
        <v>65</v>
      </c>
      <c r="G9" s="6">
        <v>3</v>
      </c>
    </row>
    <row r="10" spans="1:7" ht="15.75" customHeight="1" x14ac:dyDescent="0.25">
      <c r="A10" s="3">
        <v>109</v>
      </c>
      <c r="B10" s="1" t="s">
        <v>20</v>
      </c>
      <c r="C10" s="1" t="s">
        <v>10</v>
      </c>
      <c r="D10" s="1">
        <v>42</v>
      </c>
      <c r="E10" s="1">
        <v>70</v>
      </c>
      <c r="F10" s="1">
        <v>92</v>
      </c>
      <c r="G10" s="5">
        <v>5</v>
      </c>
    </row>
    <row r="11" spans="1:7" ht="15.75" customHeight="1" x14ac:dyDescent="0.25">
      <c r="A11" s="4">
        <v>110</v>
      </c>
      <c r="B11" s="2" t="s">
        <v>21</v>
      </c>
      <c r="C11" s="2" t="s">
        <v>8</v>
      </c>
      <c r="D11" s="2">
        <v>37</v>
      </c>
      <c r="E11" s="2">
        <v>55</v>
      </c>
      <c r="F11" s="2">
        <v>83</v>
      </c>
      <c r="G11" s="6">
        <v>4</v>
      </c>
    </row>
    <row r="12" spans="1:7" ht="15.75" customHeight="1" x14ac:dyDescent="0.25">
      <c r="A12" s="3">
        <v>111</v>
      </c>
      <c r="B12" s="1" t="s">
        <v>22</v>
      </c>
      <c r="C12" s="1" t="s">
        <v>16</v>
      </c>
      <c r="D12" s="1">
        <v>29</v>
      </c>
      <c r="E12" s="1">
        <v>38</v>
      </c>
      <c r="F12" s="1">
        <v>68</v>
      </c>
      <c r="G12" s="5">
        <v>3</v>
      </c>
    </row>
    <row r="13" spans="1:7" ht="15.75" customHeight="1" x14ac:dyDescent="0.25">
      <c r="A13" s="4">
        <v>112</v>
      </c>
      <c r="B13" s="2" t="s">
        <v>23</v>
      </c>
      <c r="C13" s="2" t="s">
        <v>10</v>
      </c>
      <c r="D13" s="2">
        <v>44</v>
      </c>
      <c r="E13" s="2">
        <v>73</v>
      </c>
      <c r="F13" s="2">
        <v>94</v>
      </c>
      <c r="G13" s="6">
        <v>5</v>
      </c>
    </row>
    <row r="14" spans="1:7" ht="15.75" customHeight="1" x14ac:dyDescent="0.25">
      <c r="A14" s="3">
        <v>113</v>
      </c>
      <c r="B14" s="1" t="s">
        <v>24</v>
      </c>
      <c r="C14" s="1" t="s">
        <v>12</v>
      </c>
      <c r="D14" s="1">
        <v>33</v>
      </c>
      <c r="E14" s="1">
        <v>45</v>
      </c>
      <c r="F14" s="1">
        <v>75</v>
      </c>
      <c r="G14" s="5">
        <v>3</v>
      </c>
    </row>
    <row r="15" spans="1:7" ht="15.75" customHeight="1" x14ac:dyDescent="0.25">
      <c r="A15" s="4">
        <v>114</v>
      </c>
      <c r="B15" s="2" t="s">
        <v>25</v>
      </c>
      <c r="C15" s="2" t="s">
        <v>8</v>
      </c>
      <c r="D15" s="2">
        <v>41</v>
      </c>
      <c r="E15" s="2">
        <v>66</v>
      </c>
      <c r="F15" s="2">
        <v>89</v>
      </c>
      <c r="G15" s="6">
        <v>4</v>
      </c>
    </row>
    <row r="16" spans="1:7" ht="15.75" customHeight="1" x14ac:dyDescent="0.25">
      <c r="A16" s="3">
        <v>115</v>
      </c>
      <c r="B16" s="1" t="s">
        <v>26</v>
      </c>
      <c r="C16" s="1" t="s">
        <v>14</v>
      </c>
      <c r="D16" s="1">
        <v>48</v>
      </c>
      <c r="E16" s="1">
        <v>78</v>
      </c>
      <c r="F16" s="1">
        <v>98</v>
      </c>
      <c r="G16" s="5">
        <v>5</v>
      </c>
    </row>
    <row r="17" spans="1:7" ht="15.75" customHeight="1" x14ac:dyDescent="0.25">
      <c r="A17" s="4">
        <v>116</v>
      </c>
      <c r="B17" s="2" t="s">
        <v>27</v>
      </c>
      <c r="C17" s="2" t="s">
        <v>16</v>
      </c>
      <c r="D17" s="2">
        <v>26</v>
      </c>
      <c r="E17" s="2">
        <v>32</v>
      </c>
      <c r="F17" s="2">
        <v>62</v>
      </c>
      <c r="G17" s="6">
        <v>2</v>
      </c>
    </row>
    <row r="18" spans="1:7" ht="15.75" customHeight="1" x14ac:dyDescent="0.25">
      <c r="A18" s="3">
        <v>117</v>
      </c>
      <c r="B18" s="1" t="s">
        <v>28</v>
      </c>
      <c r="C18" s="1" t="s">
        <v>12</v>
      </c>
      <c r="D18" s="1">
        <v>31</v>
      </c>
      <c r="E18" s="1">
        <v>42</v>
      </c>
      <c r="F18" s="1">
        <v>72</v>
      </c>
      <c r="G18" s="5">
        <v>3</v>
      </c>
    </row>
    <row r="19" spans="1:7" ht="15.75" customHeight="1" x14ac:dyDescent="0.25">
      <c r="A19" s="4">
        <v>118</v>
      </c>
      <c r="B19" s="2" t="s">
        <v>29</v>
      </c>
      <c r="C19" s="2" t="s">
        <v>10</v>
      </c>
      <c r="D19" s="2">
        <v>43</v>
      </c>
      <c r="E19" s="2">
        <v>75</v>
      </c>
      <c r="F19" s="2">
        <v>93</v>
      </c>
      <c r="G19" s="6">
        <v>5</v>
      </c>
    </row>
    <row r="20" spans="1:7" ht="15.75" customHeight="1" x14ac:dyDescent="0.25">
      <c r="A20" s="3">
        <v>119</v>
      </c>
      <c r="B20" s="1" t="s">
        <v>30</v>
      </c>
      <c r="C20" s="1" t="s">
        <v>14</v>
      </c>
      <c r="D20" s="1">
        <v>39</v>
      </c>
      <c r="E20" s="1">
        <v>60</v>
      </c>
      <c r="F20" s="1">
        <v>87</v>
      </c>
      <c r="G20" s="5">
        <v>4</v>
      </c>
    </row>
    <row r="21" spans="1:7" ht="15.75" customHeight="1" x14ac:dyDescent="0.25">
      <c r="A21" s="4">
        <v>120</v>
      </c>
      <c r="B21" s="2" t="s">
        <v>31</v>
      </c>
      <c r="C21" s="2" t="s">
        <v>8</v>
      </c>
      <c r="D21" s="2">
        <v>36</v>
      </c>
      <c r="E21" s="2">
        <v>52</v>
      </c>
      <c r="F21" s="2">
        <v>78</v>
      </c>
      <c r="G21" s="6">
        <v>4</v>
      </c>
    </row>
    <row r="22" spans="1:7" ht="15.75" customHeight="1" x14ac:dyDescent="0.25">
      <c r="A22" s="3">
        <v>121</v>
      </c>
      <c r="B22" s="1" t="s">
        <v>32</v>
      </c>
      <c r="C22" s="1" t="s">
        <v>16</v>
      </c>
      <c r="D22" s="1">
        <v>27</v>
      </c>
      <c r="E22" s="1">
        <v>34</v>
      </c>
      <c r="F22" s="1">
        <v>64</v>
      </c>
      <c r="G22" s="5">
        <v>2</v>
      </c>
    </row>
    <row r="23" spans="1:7" ht="15.75" customHeight="1" x14ac:dyDescent="0.25">
      <c r="A23" s="4">
        <v>122</v>
      </c>
      <c r="B23" s="2" t="s">
        <v>33</v>
      </c>
      <c r="C23" s="2" t="s">
        <v>12</v>
      </c>
      <c r="D23" s="2">
        <v>32</v>
      </c>
      <c r="E23" s="2">
        <v>44</v>
      </c>
      <c r="F23" s="2">
        <v>74</v>
      </c>
      <c r="G23" s="6">
        <v>3</v>
      </c>
    </row>
    <row r="24" spans="1:7" ht="15.75" customHeight="1" x14ac:dyDescent="0.25">
      <c r="A24" s="3">
        <v>123</v>
      </c>
      <c r="B24" s="1" t="s">
        <v>34</v>
      </c>
      <c r="C24" s="1" t="s">
        <v>10</v>
      </c>
      <c r="D24" s="1">
        <v>46</v>
      </c>
      <c r="E24" s="1">
        <v>77</v>
      </c>
      <c r="F24" s="1">
        <v>96</v>
      </c>
      <c r="G24" s="5">
        <v>5</v>
      </c>
    </row>
    <row r="25" spans="1:7" ht="15.75" customHeight="1" x14ac:dyDescent="0.25">
      <c r="A25" s="4">
        <v>124</v>
      </c>
      <c r="B25" s="2" t="s">
        <v>35</v>
      </c>
      <c r="C25" s="2" t="s">
        <v>8</v>
      </c>
      <c r="D25" s="2">
        <v>34</v>
      </c>
      <c r="E25" s="2">
        <v>48</v>
      </c>
      <c r="F25" s="2">
        <v>76</v>
      </c>
      <c r="G25" s="6">
        <v>3</v>
      </c>
    </row>
    <row r="26" spans="1:7" ht="15.75" customHeight="1" x14ac:dyDescent="0.25">
      <c r="A26" s="10">
        <v>125</v>
      </c>
      <c r="B26" s="11" t="s">
        <v>36</v>
      </c>
      <c r="C26" s="11" t="s">
        <v>14</v>
      </c>
      <c r="D26" s="11">
        <v>47</v>
      </c>
      <c r="E26" s="11">
        <v>79</v>
      </c>
      <c r="F26" s="11">
        <v>99</v>
      </c>
      <c r="G26" s="1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19AC-D3D8-4256-8F12-DF630360A30B}">
  <dimension ref="A1:G40"/>
  <sheetViews>
    <sheetView workbookViewId="0">
      <selection activeCell="J6" sqref="J6"/>
    </sheetView>
  </sheetViews>
  <sheetFormatPr defaultRowHeight="12.75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</cols>
  <sheetData>
    <row r="1" spans="1:7" ht="1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ht="15" x14ac:dyDescent="0.25">
      <c r="A2" s="3">
        <v>107</v>
      </c>
      <c r="B2" s="1" t="s">
        <v>18</v>
      </c>
      <c r="C2" s="1" t="s">
        <v>14</v>
      </c>
      <c r="D2" s="1">
        <v>50</v>
      </c>
      <c r="E2" s="1">
        <v>80</v>
      </c>
      <c r="F2" s="1">
        <v>100</v>
      </c>
      <c r="G2" s="5">
        <v>5</v>
      </c>
    </row>
    <row r="3" spans="1:7" ht="15" x14ac:dyDescent="0.25">
      <c r="A3" s="3">
        <v>125</v>
      </c>
      <c r="B3" s="1" t="s">
        <v>36</v>
      </c>
      <c r="C3" s="1" t="s">
        <v>14</v>
      </c>
      <c r="D3" s="1">
        <v>47</v>
      </c>
      <c r="E3" s="1">
        <v>79</v>
      </c>
      <c r="F3" s="1">
        <v>99</v>
      </c>
      <c r="G3" s="5">
        <v>5</v>
      </c>
    </row>
    <row r="4" spans="1:7" ht="15" x14ac:dyDescent="0.25">
      <c r="A4" s="3">
        <v>115</v>
      </c>
      <c r="B4" s="1" t="s">
        <v>26</v>
      </c>
      <c r="C4" s="1" t="s">
        <v>14</v>
      </c>
      <c r="D4" s="1">
        <v>48</v>
      </c>
      <c r="E4" s="1">
        <v>78</v>
      </c>
      <c r="F4" s="1">
        <v>98</v>
      </c>
      <c r="G4" s="5">
        <v>5</v>
      </c>
    </row>
    <row r="5" spans="1:7" ht="15" x14ac:dyDescent="0.25">
      <c r="A5" s="3">
        <v>123</v>
      </c>
      <c r="B5" s="1" t="s">
        <v>34</v>
      </c>
      <c r="C5" s="1" t="s">
        <v>10</v>
      </c>
      <c r="D5" s="1">
        <v>46</v>
      </c>
      <c r="E5" s="1">
        <v>77</v>
      </c>
      <c r="F5" s="1">
        <v>96</v>
      </c>
      <c r="G5" s="5">
        <v>5</v>
      </c>
    </row>
    <row r="6" spans="1:7" ht="15" x14ac:dyDescent="0.25">
      <c r="A6" s="4">
        <v>104</v>
      </c>
      <c r="B6" s="2" t="s">
        <v>13</v>
      </c>
      <c r="C6" s="2" t="s">
        <v>14</v>
      </c>
      <c r="D6" s="2">
        <v>45</v>
      </c>
      <c r="E6" s="2">
        <v>75</v>
      </c>
      <c r="F6" s="2">
        <v>95</v>
      </c>
      <c r="G6" s="6">
        <v>5</v>
      </c>
    </row>
    <row r="7" spans="1:7" ht="15" hidden="1" x14ac:dyDescent="0.25">
      <c r="A7" s="4">
        <v>112</v>
      </c>
      <c r="B7" s="2" t="s">
        <v>23</v>
      </c>
      <c r="C7" s="2" t="s">
        <v>10</v>
      </c>
      <c r="D7" s="2">
        <v>44</v>
      </c>
      <c r="E7" s="2">
        <v>73</v>
      </c>
      <c r="F7" s="2">
        <v>94</v>
      </c>
      <c r="G7" s="6">
        <v>5</v>
      </c>
    </row>
    <row r="8" spans="1:7" ht="15" hidden="1" x14ac:dyDescent="0.25">
      <c r="A8" s="4">
        <v>118</v>
      </c>
      <c r="B8" s="2" t="s">
        <v>29</v>
      </c>
      <c r="C8" s="2" t="s">
        <v>10</v>
      </c>
      <c r="D8" s="2">
        <v>43</v>
      </c>
      <c r="E8" s="2">
        <v>75</v>
      </c>
      <c r="F8" s="2">
        <v>93</v>
      </c>
      <c r="G8" s="6">
        <v>5</v>
      </c>
    </row>
    <row r="9" spans="1:7" ht="15" hidden="1" x14ac:dyDescent="0.25">
      <c r="A9" s="3">
        <v>109</v>
      </c>
      <c r="B9" s="1" t="s">
        <v>20</v>
      </c>
      <c r="C9" s="1" t="s">
        <v>10</v>
      </c>
      <c r="D9" s="1">
        <v>42</v>
      </c>
      <c r="E9" s="1">
        <v>70</v>
      </c>
      <c r="F9" s="1">
        <v>92</v>
      </c>
      <c r="G9" s="5">
        <v>5</v>
      </c>
    </row>
    <row r="10" spans="1:7" ht="15" hidden="1" x14ac:dyDescent="0.25">
      <c r="A10" s="4">
        <v>102</v>
      </c>
      <c r="B10" s="2" t="s">
        <v>9</v>
      </c>
      <c r="C10" s="2" t="s">
        <v>10</v>
      </c>
      <c r="D10" s="2">
        <v>40</v>
      </c>
      <c r="E10" s="2">
        <v>65</v>
      </c>
      <c r="F10" s="2">
        <v>90</v>
      </c>
      <c r="G10" s="6">
        <v>5</v>
      </c>
    </row>
    <row r="11" spans="1:7" ht="15" hidden="1" x14ac:dyDescent="0.25">
      <c r="A11" s="4">
        <v>114</v>
      </c>
      <c r="B11" s="2" t="s">
        <v>25</v>
      </c>
      <c r="C11" s="2" t="s">
        <v>8</v>
      </c>
      <c r="D11" s="2">
        <v>41</v>
      </c>
      <c r="E11" s="2">
        <v>66</v>
      </c>
      <c r="F11" s="2">
        <v>89</v>
      </c>
      <c r="G11" s="6">
        <v>4</v>
      </c>
    </row>
    <row r="12" spans="1:7" ht="15" hidden="1" x14ac:dyDescent="0.25">
      <c r="A12" s="3">
        <v>119</v>
      </c>
      <c r="B12" s="1" t="s">
        <v>30</v>
      </c>
      <c r="C12" s="1" t="s">
        <v>14</v>
      </c>
      <c r="D12" s="1">
        <v>39</v>
      </c>
      <c r="E12" s="1">
        <v>60</v>
      </c>
      <c r="F12" s="1">
        <v>87</v>
      </c>
      <c r="G12" s="5">
        <v>4</v>
      </c>
    </row>
    <row r="13" spans="1:7" ht="15" hidden="1" x14ac:dyDescent="0.25">
      <c r="A13" s="4">
        <v>106</v>
      </c>
      <c r="B13" s="2" t="s">
        <v>17</v>
      </c>
      <c r="C13" s="2" t="s">
        <v>8</v>
      </c>
      <c r="D13" s="2">
        <v>38</v>
      </c>
      <c r="E13" s="2">
        <v>58</v>
      </c>
      <c r="F13" s="2">
        <v>85</v>
      </c>
      <c r="G13" s="6">
        <v>4</v>
      </c>
    </row>
    <row r="14" spans="1:7" ht="15" hidden="1" x14ac:dyDescent="0.25">
      <c r="A14" s="4">
        <v>110</v>
      </c>
      <c r="B14" s="2" t="s">
        <v>21</v>
      </c>
      <c r="C14" s="2" t="s">
        <v>8</v>
      </c>
      <c r="D14" s="2">
        <v>37</v>
      </c>
      <c r="E14" s="2">
        <v>55</v>
      </c>
      <c r="F14" s="2">
        <v>83</v>
      </c>
      <c r="G14" s="6">
        <v>4</v>
      </c>
    </row>
    <row r="15" spans="1:7" ht="15" hidden="1" x14ac:dyDescent="0.25">
      <c r="A15" s="3">
        <v>101</v>
      </c>
      <c r="B15" s="1" t="s">
        <v>7</v>
      </c>
      <c r="C15" s="1" t="s">
        <v>8</v>
      </c>
      <c r="D15" s="1">
        <v>35</v>
      </c>
      <c r="E15" s="1">
        <v>50</v>
      </c>
      <c r="F15" s="1">
        <v>80</v>
      </c>
      <c r="G15" s="5">
        <v>4</v>
      </c>
    </row>
    <row r="16" spans="1:7" ht="15" hidden="1" x14ac:dyDescent="0.25">
      <c r="A16" s="4">
        <v>120</v>
      </c>
      <c r="B16" s="2" t="s">
        <v>31</v>
      </c>
      <c r="C16" s="2" t="s">
        <v>8</v>
      </c>
      <c r="D16" s="2">
        <v>36</v>
      </c>
      <c r="E16" s="2">
        <v>52</v>
      </c>
      <c r="F16" s="2">
        <v>78</v>
      </c>
      <c r="G16" s="6">
        <v>4</v>
      </c>
    </row>
    <row r="17" spans="1:7" ht="15" hidden="1" x14ac:dyDescent="0.25">
      <c r="A17" s="4">
        <v>124</v>
      </c>
      <c r="B17" s="2" t="s">
        <v>35</v>
      </c>
      <c r="C17" s="2" t="s">
        <v>8</v>
      </c>
      <c r="D17" s="2">
        <v>34</v>
      </c>
      <c r="E17" s="2">
        <v>48</v>
      </c>
      <c r="F17" s="2">
        <v>76</v>
      </c>
      <c r="G17" s="6">
        <v>3</v>
      </c>
    </row>
    <row r="18" spans="1:7" ht="15" hidden="1" x14ac:dyDescent="0.25">
      <c r="A18" s="3">
        <v>113</v>
      </c>
      <c r="B18" s="1" t="s">
        <v>24</v>
      </c>
      <c r="C18" s="1" t="s">
        <v>12</v>
      </c>
      <c r="D18" s="1">
        <v>33</v>
      </c>
      <c r="E18" s="1">
        <v>45</v>
      </c>
      <c r="F18" s="1">
        <v>75</v>
      </c>
      <c r="G18" s="5">
        <v>3</v>
      </c>
    </row>
    <row r="19" spans="1:7" ht="15" hidden="1" x14ac:dyDescent="0.25">
      <c r="A19" s="4">
        <v>122</v>
      </c>
      <c r="B19" s="2" t="s">
        <v>33</v>
      </c>
      <c r="C19" s="2" t="s">
        <v>12</v>
      </c>
      <c r="D19" s="2">
        <v>32</v>
      </c>
      <c r="E19" s="2">
        <v>44</v>
      </c>
      <c r="F19" s="2">
        <v>74</v>
      </c>
      <c r="G19" s="6">
        <v>3</v>
      </c>
    </row>
    <row r="20" spans="1:7" ht="15" hidden="1" x14ac:dyDescent="0.25">
      <c r="A20" s="3">
        <v>117</v>
      </c>
      <c r="B20" s="1" t="s">
        <v>28</v>
      </c>
      <c r="C20" s="1" t="s">
        <v>12</v>
      </c>
      <c r="D20" s="1">
        <v>31</v>
      </c>
      <c r="E20" s="1">
        <v>42</v>
      </c>
      <c r="F20" s="1">
        <v>72</v>
      </c>
      <c r="G20" s="5">
        <v>3</v>
      </c>
    </row>
    <row r="21" spans="1:7" ht="15" hidden="1" x14ac:dyDescent="0.25">
      <c r="A21" s="3">
        <v>103</v>
      </c>
      <c r="B21" s="1" t="s">
        <v>11</v>
      </c>
      <c r="C21" s="1" t="s">
        <v>12</v>
      </c>
      <c r="D21" s="1">
        <v>30</v>
      </c>
      <c r="E21" s="1">
        <v>40</v>
      </c>
      <c r="F21" s="1">
        <v>70</v>
      </c>
      <c r="G21" s="5">
        <v>3</v>
      </c>
    </row>
    <row r="22" spans="1:7" ht="15" hidden="1" x14ac:dyDescent="0.25">
      <c r="A22" s="3">
        <v>111</v>
      </c>
      <c r="B22" s="1" t="s">
        <v>22</v>
      </c>
      <c r="C22" s="1" t="s">
        <v>16</v>
      </c>
      <c r="D22" s="1">
        <v>29</v>
      </c>
      <c r="E22" s="1">
        <v>38</v>
      </c>
      <c r="F22" s="1">
        <v>68</v>
      </c>
      <c r="G22" s="5">
        <v>3</v>
      </c>
    </row>
    <row r="23" spans="1:7" ht="15" hidden="1" x14ac:dyDescent="0.25">
      <c r="A23" s="4">
        <v>108</v>
      </c>
      <c r="B23" s="2" t="s">
        <v>19</v>
      </c>
      <c r="C23" s="2" t="s">
        <v>12</v>
      </c>
      <c r="D23" s="2">
        <v>28</v>
      </c>
      <c r="E23" s="2">
        <v>35</v>
      </c>
      <c r="F23" s="2">
        <v>65</v>
      </c>
      <c r="G23" s="6">
        <v>3</v>
      </c>
    </row>
    <row r="24" spans="1:7" ht="15" hidden="1" x14ac:dyDescent="0.25">
      <c r="A24" s="3">
        <v>121</v>
      </c>
      <c r="B24" s="1" t="s">
        <v>32</v>
      </c>
      <c r="C24" s="1" t="s">
        <v>16</v>
      </c>
      <c r="D24" s="1">
        <v>27</v>
      </c>
      <c r="E24" s="1">
        <v>34</v>
      </c>
      <c r="F24" s="1">
        <v>64</v>
      </c>
      <c r="G24" s="5">
        <v>2</v>
      </c>
    </row>
    <row r="25" spans="1:7" ht="15" hidden="1" x14ac:dyDescent="0.25">
      <c r="A25" s="4">
        <v>116</v>
      </c>
      <c r="B25" s="2" t="s">
        <v>27</v>
      </c>
      <c r="C25" s="2" t="s">
        <v>16</v>
      </c>
      <c r="D25" s="2">
        <v>26</v>
      </c>
      <c r="E25" s="2">
        <v>32</v>
      </c>
      <c r="F25" s="2">
        <v>62</v>
      </c>
      <c r="G25" s="6">
        <v>2</v>
      </c>
    </row>
    <row r="26" spans="1:7" ht="15" hidden="1" x14ac:dyDescent="0.25">
      <c r="A26" s="10">
        <v>105</v>
      </c>
      <c r="B26" s="11" t="s">
        <v>15</v>
      </c>
      <c r="C26" s="11" t="s">
        <v>16</v>
      </c>
      <c r="D26" s="11">
        <v>25</v>
      </c>
      <c r="E26" s="11">
        <v>30</v>
      </c>
      <c r="F26" s="11">
        <v>60</v>
      </c>
      <c r="G26" s="12">
        <v>2</v>
      </c>
    </row>
    <row r="40" spans="7:7" x14ac:dyDescent="0.2">
      <c r="G40" t="s">
        <v>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150B-16C1-4875-A0F0-22D7638F81C3}">
  <dimension ref="A1:B15"/>
  <sheetViews>
    <sheetView workbookViewId="0">
      <selection activeCell="F8" sqref="F8"/>
    </sheetView>
  </sheetViews>
  <sheetFormatPr defaultRowHeight="12.75" x14ac:dyDescent="0.2"/>
  <cols>
    <col min="1" max="1" width="22.42578125" customWidth="1"/>
    <col min="2" max="2" width="39.42578125" customWidth="1"/>
  </cols>
  <sheetData>
    <row r="1" spans="1:2" x14ac:dyDescent="0.2">
      <c r="A1" s="13" t="s">
        <v>38</v>
      </c>
      <c r="B1" t="s">
        <v>40</v>
      </c>
    </row>
    <row r="2" spans="1:2" x14ac:dyDescent="0.2">
      <c r="A2" s="14" t="s">
        <v>8</v>
      </c>
      <c r="B2" s="15">
        <v>4.3748015828022293</v>
      </c>
    </row>
    <row r="3" spans="1:2" x14ac:dyDescent="0.2">
      <c r="A3" s="14" t="s">
        <v>10</v>
      </c>
      <c r="B3" s="15">
        <v>2</v>
      </c>
    </row>
    <row r="4" spans="1:2" x14ac:dyDescent="0.2">
      <c r="A4" s="14" t="s">
        <v>14</v>
      </c>
      <c r="B4" s="15">
        <v>4.7074409183759283</v>
      </c>
    </row>
    <row r="5" spans="1:2" x14ac:dyDescent="0.2">
      <c r="A5" s="14" t="s">
        <v>12</v>
      </c>
      <c r="B5" s="15">
        <v>3.54400902933387</v>
      </c>
    </row>
    <row r="6" spans="1:2" x14ac:dyDescent="0.2">
      <c r="A6" s="14" t="s">
        <v>16</v>
      </c>
      <c r="B6" s="15">
        <v>2.9580398915498081</v>
      </c>
    </row>
    <row r="7" spans="1:2" ht="16.5" customHeight="1" x14ac:dyDescent="0.2">
      <c r="A7" s="14" t="s">
        <v>39</v>
      </c>
      <c r="B7" s="15">
        <v>12.412896519346321</v>
      </c>
    </row>
    <row r="15" spans="1:2" x14ac:dyDescent="0.2">
      <c r="B1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5892-7519-45F5-BD83-FEE34A27EE92}">
  <sheetPr>
    <outlinePr summaryBelow="0" summaryRight="0"/>
  </sheetPr>
  <dimension ref="A1:H26"/>
  <sheetViews>
    <sheetView workbookViewId="0">
      <selection activeCell="I2" sqref="I2"/>
    </sheetView>
  </sheetViews>
  <sheetFormatPr defaultColWidth="12.5703125" defaultRowHeight="15.75" customHeight="1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  <col min="8" max="8" width="36" bestFit="1" customWidth="1"/>
  </cols>
  <sheetData>
    <row r="1" spans="1:8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41</v>
      </c>
    </row>
    <row r="2" spans="1:8" ht="15.75" customHeight="1" x14ac:dyDescent="0.25">
      <c r="A2" s="4">
        <v>102</v>
      </c>
      <c r="B2" s="2" t="s">
        <v>9</v>
      </c>
      <c r="C2" s="2" t="s">
        <v>10</v>
      </c>
      <c r="D2" s="2">
        <v>40</v>
      </c>
      <c r="E2" s="2">
        <v>65</v>
      </c>
      <c r="F2" s="2">
        <v>90</v>
      </c>
      <c r="G2" s="6">
        <v>5</v>
      </c>
      <c r="H2" s="17">
        <f>Table16[[#This Row],[Productivity_Score]]*Table16[[#This Row],[Performance_Rating]]/Table16[[#This Row],[Hours_Worked]]</f>
        <v>11.25</v>
      </c>
    </row>
    <row r="3" spans="1:8" ht="15.75" customHeight="1" x14ac:dyDescent="0.25">
      <c r="A3" s="3">
        <v>109</v>
      </c>
      <c r="B3" s="1" t="s">
        <v>20</v>
      </c>
      <c r="C3" s="1" t="s">
        <v>10</v>
      </c>
      <c r="D3" s="1">
        <v>42</v>
      </c>
      <c r="E3" s="1">
        <v>70</v>
      </c>
      <c r="F3" s="1">
        <v>92</v>
      </c>
      <c r="G3" s="5">
        <v>5</v>
      </c>
      <c r="H3" s="18">
        <f>Table16[[#This Row],[Productivity_Score]]*Table16[[#This Row],[Performance_Rating]]/Table16[[#This Row],[Hours_Worked]]</f>
        <v>10.952380952380953</v>
      </c>
    </row>
    <row r="4" spans="1:8" ht="15.75" customHeight="1" x14ac:dyDescent="0.25">
      <c r="A4" s="4">
        <v>118</v>
      </c>
      <c r="B4" s="2" t="s">
        <v>29</v>
      </c>
      <c r="C4" s="2" t="s">
        <v>10</v>
      </c>
      <c r="D4" s="2">
        <v>43</v>
      </c>
      <c r="E4" s="2">
        <v>75</v>
      </c>
      <c r="F4" s="2">
        <v>93</v>
      </c>
      <c r="G4" s="6">
        <v>5</v>
      </c>
      <c r="H4" s="18">
        <f>Table16[[#This Row],[Productivity_Score]]*Table16[[#This Row],[Performance_Rating]]/Table16[[#This Row],[Hours_Worked]]</f>
        <v>10.813953488372093</v>
      </c>
    </row>
    <row r="5" spans="1:8" ht="15.75" hidden="1" customHeight="1" x14ac:dyDescent="0.25">
      <c r="A5" s="4">
        <v>112</v>
      </c>
      <c r="B5" s="2" t="s">
        <v>23</v>
      </c>
      <c r="C5" s="2" t="s">
        <v>10</v>
      </c>
      <c r="D5" s="2">
        <v>44</v>
      </c>
      <c r="E5" s="2">
        <v>73</v>
      </c>
      <c r="F5" s="2">
        <v>94</v>
      </c>
      <c r="G5" s="6">
        <v>5</v>
      </c>
      <c r="H5" s="1">
        <f>Table16[[#This Row],[Productivity_Score]]*Table16[[#This Row],[Performance_Rating]]/Table16[[#This Row],[Hours_Worked]]</f>
        <v>10.681818181818182</v>
      </c>
    </row>
    <row r="6" spans="1:8" ht="15.75" hidden="1" customHeight="1" x14ac:dyDescent="0.25">
      <c r="A6" s="4">
        <v>104</v>
      </c>
      <c r="B6" s="2" t="s">
        <v>13</v>
      </c>
      <c r="C6" s="2" t="s">
        <v>14</v>
      </c>
      <c r="D6" s="2">
        <v>45</v>
      </c>
      <c r="E6" s="2">
        <v>75</v>
      </c>
      <c r="F6" s="2">
        <v>95</v>
      </c>
      <c r="G6" s="6">
        <v>5</v>
      </c>
      <c r="H6" s="1">
        <f>Table16[[#This Row],[Productivity_Score]]*Table16[[#This Row],[Performance_Rating]]/Table16[[#This Row],[Hours_Worked]]</f>
        <v>10.555555555555555</v>
      </c>
    </row>
    <row r="7" spans="1:8" ht="15.75" hidden="1" customHeight="1" x14ac:dyDescent="0.25">
      <c r="A7" s="3">
        <v>125</v>
      </c>
      <c r="B7" s="1" t="s">
        <v>36</v>
      </c>
      <c r="C7" s="1" t="s">
        <v>14</v>
      </c>
      <c r="D7" s="1">
        <v>47</v>
      </c>
      <c r="E7" s="1">
        <v>79</v>
      </c>
      <c r="F7" s="1">
        <v>99</v>
      </c>
      <c r="G7" s="5">
        <v>5</v>
      </c>
      <c r="H7" s="1">
        <f>Table16[[#This Row],[Productivity_Score]]*Table16[[#This Row],[Performance_Rating]]/Table16[[#This Row],[Hours_Worked]]</f>
        <v>10.531914893617021</v>
      </c>
    </row>
    <row r="8" spans="1:8" ht="15.75" hidden="1" customHeight="1" x14ac:dyDescent="0.25">
      <c r="A8" s="3">
        <v>123</v>
      </c>
      <c r="B8" s="1" t="s">
        <v>34</v>
      </c>
      <c r="C8" s="1" t="s">
        <v>10</v>
      </c>
      <c r="D8" s="1">
        <v>46</v>
      </c>
      <c r="E8" s="1">
        <v>77</v>
      </c>
      <c r="F8" s="1">
        <v>96</v>
      </c>
      <c r="G8" s="5">
        <v>5</v>
      </c>
      <c r="H8" s="1">
        <f>Table16[[#This Row],[Productivity_Score]]*Table16[[#This Row],[Performance_Rating]]/Table16[[#This Row],[Hours_Worked]]</f>
        <v>10.434782608695652</v>
      </c>
    </row>
    <row r="9" spans="1:8" ht="15.75" hidden="1" customHeight="1" x14ac:dyDescent="0.25">
      <c r="A9" s="3">
        <v>115</v>
      </c>
      <c r="B9" s="1" t="s">
        <v>26</v>
      </c>
      <c r="C9" s="1" t="s">
        <v>14</v>
      </c>
      <c r="D9" s="1">
        <v>48</v>
      </c>
      <c r="E9" s="1">
        <v>78</v>
      </c>
      <c r="F9" s="1">
        <v>98</v>
      </c>
      <c r="G9" s="5">
        <v>5</v>
      </c>
      <c r="H9" s="1">
        <f>Table16[[#This Row],[Productivity_Score]]*Table16[[#This Row],[Performance_Rating]]/Table16[[#This Row],[Hours_Worked]]</f>
        <v>10.208333333333334</v>
      </c>
    </row>
    <row r="10" spans="1:8" ht="15.75" hidden="1" customHeight="1" x14ac:dyDescent="0.25">
      <c r="A10" s="3">
        <v>107</v>
      </c>
      <c r="B10" s="1" t="s">
        <v>18</v>
      </c>
      <c r="C10" s="1" t="s">
        <v>14</v>
      </c>
      <c r="D10" s="1">
        <v>50</v>
      </c>
      <c r="E10" s="1">
        <v>80</v>
      </c>
      <c r="F10" s="1">
        <v>100</v>
      </c>
      <c r="G10" s="5">
        <v>5</v>
      </c>
      <c r="H10" s="1">
        <f>Table16[[#This Row],[Productivity_Score]]*Table16[[#This Row],[Performance_Rating]]/Table16[[#This Row],[Hours_Worked]]</f>
        <v>10</v>
      </c>
    </row>
    <row r="11" spans="1:8" ht="15.75" hidden="1" customHeight="1" x14ac:dyDescent="0.25">
      <c r="A11" s="3">
        <v>101</v>
      </c>
      <c r="B11" s="1" t="s">
        <v>7</v>
      </c>
      <c r="C11" s="1" t="s">
        <v>8</v>
      </c>
      <c r="D11" s="1">
        <v>35</v>
      </c>
      <c r="E11" s="1">
        <v>50</v>
      </c>
      <c r="F11" s="1">
        <v>80</v>
      </c>
      <c r="G11" s="5">
        <v>4</v>
      </c>
      <c r="H11" s="1">
        <f>Table16[[#This Row],[Productivity_Score]]*Table16[[#This Row],[Performance_Rating]]/Table16[[#This Row],[Hours_Worked]]</f>
        <v>9.1428571428571423</v>
      </c>
    </row>
    <row r="12" spans="1:8" ht="15.75" hidden="1" customHeight="1" x14ac:dyDescent="0.25">
      <c r="A12" s="4">
        <v>110</v>
      </c>
      <c r="B12" s="2" t="s">
        <v>21</v>
      </c>
      <c r="C12" s="2" t="s">
        <v>8</v>
      </c>
      <c r="D12" s="2">
        <v>37</v>
      </c>
      <c r="E12" s="2">
        <v>55</v>
      </c>
      <c r="F12" s="2">
        <v>83</v>
      </c>
      <c r="G12" s="6">
        <v>4</v>
      </c>
      <c r="H12" s="1">
        <f>Table16[[#This Row],[Productivity_Score]]*Table16[[#This Row],[Performance_Rating]]/Table16[[#This Row],[Hours_Worked]]</f>
        <v>8.9729729729729737</v>
      </c>
    </row>
    <row r="13" spans="1:8" ht="15.75" hidden="1" customHeight="1" x14ac:dyDescent="0.25">
      <c r="A13" s="4">
        <v>106</v>
      </c>
      <c r="B13" s="2" t="s">
        <v>17</v>
      </c>
      <c r="C13" s="2" t="s">
        <v>8</v>
      </c>
      <c r="D13" s="2">
        <v>38</v>
      </c>
      <c r="E13" s="2">
        <v>58</v>
      </c>
      <c r="F13" s="2">
        <v>85</v>
      </c>
      <c r="G13" s="6">
        <v>4</v>
      </c>
      <c r="H13" s="1">
        <f>Table16[[#This Row],[Productivity_Score]]*Table16[[#This Row],[Performance_Rating]]/Table16[[#This Row],[Hours_Worked]]</f>
        <v>8.9473684210526319</v>
      </c>
    </row>
    <row r="14" spans="1:8" ht="15.75" hidden="1" customHeight="1" x14ac:dyDescent="0.25">
      <c r="A14" s="3">
        <v>119</v>
      </c>
      <c r="B14" s="1" t="s">
        <v>30</v>
      </c>
      <c r="C14" s="1" t="s">
        <v>14</v>
      </c>
      <c r="D14" s="1">
        <v>39</v>
      </c>
      <c r="E14" s="1">
        <v>60</v>
      </c>
      <c r="F14" s="1">
        <v>87</v>
      </c>
      <c r="G14" s="5">
        <v>4</v>
      </c>
      <c r="H14" s="1">
        <f>Table16[[#This Row],[Productivity_Score]]*Table16[[#This Row],[Performance_Rating]]/Table16[[#This Row],[Hours_Worked]]</f>
        <v>8.9230769230769234</v>
      </c>
    </row>
    <row r="15" spans="1:8" ht="15.75" hidden="1" customHeight="1" x14ac:dyDescent="0.25">
      <c r="A15" s="4">
        <v>114</v>
      </c>
      <c r="B15" s="2" t="s">
        <v>25</v>
      </c>
      <c r="C15" s="2" t="s">
        <v>8</v>
      </c>
      <c r="D15" s="2">
        <v>41</v>
      </c>
      <c r="E15" s="2">
        <v>66</v>
      </c>
      <c r="F15" s="2">
        <v>89</v>
      </c>
      <c r="G15" s="6">
        <v>4</v>
      </c>
      <c r="H15" s="1">
        <f>Table16[[#This Row],[Productivity_Score]]*Table16[[#This Row],[Performance_Rating]]/Table16[[#This Row],[Hours_Worked]]</f>
        <v>8.6829268292682933</v>
      </c>
    </row>
    <row r="16" spans="1:8" ht="15.75" hidden="1" customHeight="1" x14ac:dyDescent="0.25">
      <c r="A16" s="4">
        <v>120</v>
      </c>
      <c r="B16" s="2" t="s">
        <v>31</v>
      </c>
      <c r="C16" s="2" t="s">
        <v>8</v>
      </c>
      <c r="D16" s="2">
        <v>36</v>
      </c>
      <c r="E16" s="2">
        <v>52</v>
      </c>
      <c r="F16" s="2">
        <v>78</v>
      </c>
      <c r="G16" s="6">
        <v>4</v>
      </c>
      <c r="H16" s="1">
        <f>Table16[[#This Row],[Productivity_Score]]*Table16[[#This Row],[Performance_Rating]]/Table16[[#This Row],[Hours_Worked]]</f>
        <v>8.6666666666666661</v>
      </c>
    </row>
    <row r="17" spans="1:8" ht="15.75" hidden="1" customHeight="1" x14ac:dyDescent="0.25">
      <c r="A17" s="3">
        <v>111</v>
      </c>
      <c r="B17" s="1" t="s">
        <v>22</v>
      </c>
      <c r="C17" s="1" t="s">
        <v>16</v>
      </c>
      <c r="D17" s="1">
        <v>29</v>
      </c>
      <c r="E17" s="1">
        <v>38</v>
      </c>
      <c r="F17" s="1">
        <v>68</v>
      </c>
      <c r="G17" s="5">
        <v>3</v>
      </c>
      <c r="H17" s="1">
        <f>Table16[[#This Row],[Productivity_Score]]*Table16[[#This Row],[Performance_Rating]]/Table16[[#This Row],[Hours_Worked]]</f>
        <v>7.0344827586206895</v>
      </c>
    </row>
    <row r="18" spans="1:8" ht="15.75" hidden="1" customHeight="1" x14ac:dyDescent="0.25">
      <c r="A18" s="3">
        <v>103</v>
      </c>
      <c r="B18" s="1" t="s">
        <v>11</v>
      </c>
      <c r="C18" s="1" t="s">
        <v>12</v>
      </c>
      <c r="D18" s="1">
        <v>30</v>
      </c>
      <c r="E18" s="1">
        <v>40</v>
      </c>
      <c r="F18" s="1">
        <v>70</v>
      </c>
      <c r="G18" s="5">
        <v>3</v>
      </c>
      <c r="H18" s="1">
        <f>Table16[[#This Row],[Productivity_Score]]*Table16[[#This Row],[Performance_Rating]]/Table16[[#This Row],[Hours_Worked]]</f>
        <v>7</v>
      </c>
    </row>
    <row r="19" spans="1:8" ht="15.75" hidden="1" customHeight="1" x14ac:dyDescent="0.25">
      <c r="A19" s="3">
        <v>117</v>
      </c>
      <c r="B19" s="1" t="s">
        <v>28</v>
      </c>
      <c r="C19" s="1" t="s">
        <v>12</v>
      </c>
      <c r="D19" s="1">
        <v>31</v>
      </c>
      <c r="E19" s="1">
        <v>42</v>
      </c>
      <c r="F19" s="1">
        <v>72</v>
      </c>
      <c r="G19" s="5">
        <v>3</v>
      </c>
      <c r="H19" s="1">
        <f>Table16[[#This Row],[Productivity_Score]]*Table16[[#This Row],[Performance_Rating]]/Table16[[#This Row],[Hours_Worked]]</f>
        <v>6.967741935483871</v>
      </c>
    </row>
    <row r="20" spans="1:8" ht="15.75" hidden="1" customHeight="1" x14ac:dyDescent="0.25">
      <c r="A20" s="4">
        <v>108</v>
      </c>
      <c r="B20" s="2" t="s">
        <v>19</v>
      </c>
      <c r="C20" s="2" t="s">
        <v>12</v>
      </c>
      <c r="D20" s="2">
        <v>28</v>
      </c>
      <c r="E20" s="2">
        <v>35</v>
      </c>
      <c r="F20" s="2">
        <v>65</v>
      </c>
      <c r="G20" s="6">
        <v>3</v>
      </c>
      <c r="H20" s="1">
        <f>Table16[[#This Row],[Productivity_Score]]*Table16[[#This Row],[Performance_Rating]]/Table16[[#This Row],[Hours_Worked]]</f>
        <v>6.9642857142857144</v>
      </c>
    </row>
    <row r="21" spans="1:8" ht="15.75" hidden="1" customHeight="1" x14ac:dyDescent="0.25">
      <c r="A21" s="4">
        <v>122</v>
      </c>
      <c r="B21" s="2" t="s">
        <v>33</v>
      </c>
      <c r="C21" s="2" t="s">
        <v>12</v>
      </c>
      <c r="D21" s="2">
        <v>32</v>
      </c>
      <c r="E21" s="2">
        <v>44</v>
      </c>
      <c r="F21" s="2">
        <v>74</v>
      </c>
      <c r="G21" s="6">
        <v>3</v>
      </c>
      <c r="H21" s="1">
        <f>Table16[[#This Row],[Productivity_Score]]*Table16[[#This Row],[Performance_Rating]]/Table16[[#This Row],[Hours_Worked]]</f>
        <v>6.9375</v>
      </c>
    </row>
    <row r="22" spans="1:8" ht="15.75" hidden="1" customHeight="1" x14ac:dyDescent="0.25">
      <c r="A22" s="3">
        <v>113</v>
      </c>
      <c r="B22" s="1" t="s">
        <v>24</v>
      </c>
      <c r="C22" s="1" t="s">
        <v>12</v>
      </c>
      <c r="D22" s="1">
        <v>33</v>
      </c>
      <c r="E22" s="1">
        <v>45</v>
      </c>
      <c r="F22" s="1">
        <v>75</v>
      </c>
      <c r="G22" s="5">
        <v>3</v>
      </c>
      <c r="H22" s="1">
        <f>Table16[[#This Row],[Productivity_Score]]*Table16[[#This Row],[Performance_Rating]]/Table16[[#This Row],[Hours_Worked]]</f>
        <v>6.8181818181818183</v>
      </c>
    </row>
    <row r="23" spans="1:8" ht="15.75" hidden="1" customHeight="1" x14ac:dyDescent="0.25">
      <c r="A23" s="4">
        <v>124</v>
      </c>
      <c r="B23" s="2" t="s">
        <v>35</v>
      </c>
      <c r="C23" s="2" t="s">
        <v>8</v>
      </c>
      <c r="D23" s="2">
        <v>34</v>
      </c>
      <c r="E23" s="2">
        <v>48</v>
      </c>
      <c r="F23" s="2">
        <v>76</v>
      </c>
      <c r="G23" s="6">
        <v>3</v>
      </c>
      <c r="H23" s="1">
        <f>Table16[[#This Row],[Productivity_Score]]*Table16[[#This Row],[Performance_Rating]]/Table16[[#This Row],[Hours_Worked]]</f>
        <v>6.7058823529411766</v>
      </c>
    </row>
    <row r="24" spans="1:8" ht="15.75" hidden="1" customHeight="1" x14ac:dyDescent="0.25">
      <c r="A24" s="3">
        <v>105</v>
      </c>
      <c r="B24" s="1" t="s">
        <v>15</v>
      </c>
      <c r="C24" s="1" t="s">
        <v>16</v>
      </c>
      <c r="D24" s="1">
        <v>25</v>
      </c>
      <c r="E24" s="1">
        <v>30</v>
      </c>
      <c r="F24" s="1">
        <v>60</v>
      </c>
      <c r="G24" s="5">
        <v>2</v>
      </c>
      <c r="H24" s="1">
        <f>Table16[[#This Row],[Productivity_Score]]*Table16[[#This Row],[Performance_Rating]]/Table16[[#This Row],[Hours_Worked]]</f>
        <v>4.8</v>
      </c>
    </row>
    <row r="25" spans="1:8" ht="15.75" hidden="1" customHeight="1" x14ac:dyDescent="0.25">
      <c r="A25" s="4">
        <v>116</v>
      </c>
      <c r="B25" s="2" t="s">
        <v>27</v>
      </c>
      <c r="C25" s="2" t="s">
        <v>16</v>
      </c>
      <c r="D25" s="2">
        <v>26</v>
      </c>
      <c r="E25" s="2">
        <v>32</v>
      </c>
      <c r="F25" s="2">
        <v>62</v>
      </c>
      <c r="G25" s="6">
        <v>2</v>
      </c>
      <c r="H25" s="1">
        <f>Table16[[#This Row],[Productivity_Score]]*Table16[[#This Row],[Performance_Rating]]/Table16[[#This Row],[Hours_Worked]]</f>
        <v>4.7692307692307692</v>
      </c>
    </row>
    <row r="26" spans="1:8" ht="15.75" hidden="1" customHeight="1" x14ac:dyDescent="0.25">
      <c r="A26" s="10">
        <v>121</v>
      </c>
      <c r="B26" s="11" t="s">
        <v>32</v>
      </c>
      <c r="C26" s="11" t="s">
        <v>16</v>
      </c>
      <c r="D26" s="11">
        <v>27</v>
      </c>
      <c r="E26" s="11">
        <v>34</v>
      </c>
      <c r="F26" s="11">
        <v>64</v>
      </c>
      <c r="G26" s="12">
        <v>2</v>
      </c>
      <c r="H26" s="11">
        <f>Table16[[#This Row],[Productivity_Score]]*Table16[[#This Row],[Performance_Rating]]/Table16[[#This Row],[Hours_Worked]]</f>
        <v>4.7407407407407405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39D7-5621-4E3C-B24A-1D6DF9E8E3D4}">
  <sheetPr>
    <outlinePr summaryBelow="0" summaryRight="0"/>
  </sheetPr>
  <dimension ref="A1:J26"/>
  <sheetViews>
    <sheetView workbookViewId="0">
      <selection activeCell="G26" sqref="A1:G26"/>
    </sheetView>
  </sheetViews>
  <sheetFormatPr defaultColWidth="12.5703125" defaultRowHeight="15.75" customHeight="1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  <col min="9" max="9" width="14.7109375" bestFit="1" customWidth="1"/>
    <col min="10" max="10" width="17.85546875" customWidth="1"/>
  </cols>
  <sheetData>
    <row r="1" spans="1:10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10" ht="15.75" customHeight="1" x14ac:dyDescent="0.25">
      <c r="A2" s="3">
        <v>101</v>
      </c>
      <c r="B2" s="1" t="s">
        <v>7</v>
      </c>
      <c r="C2" s="1" t="s">
        <v>8</v>
      </c>
      <c r="D2" s="1">
        <v>35</v>
      </c>
      <c r="E2" s="1">
        <v>50</v>
      </c>
      <c r="F2" s="1">
        <v>80</v>
      </c>
      <c r="G2" s="5">
        <v>4</v>
      </c>
    </row>
    <row r="3" spans="1:10" ht="15.75" customHeight="1" x14ac:dyDescent="0.25">
      <c r="A3" s="4">
        <v>102</v>
      </c>
      <c r="B3" s="2" t="s">
        <v>9</v>
      </c>
      <c r="C3" s="2" t="s">
        <v>10</v>
      </c>
      <c r="D3" s="2">
        <v>40</v>
      </c>
      <c r="E3" s="2">
        <v>65</v>
      </c>
      <c r="F3" s="2">
        <v>90</v>
      </c>
      <c r="G3" s="6">
        <v>5</v>
      </c>
    </row>
    <row r="4" spans="1:10" ht="15.75" customHeight="1" x14ac:dyDescent="0.25">
      <c r="A4" s="3">
        <v>103</v>
      </c>
      <c r="B4" s="1" t="s">
        <v>11</v>
      </c>
      <c r="C4" s="1" t="s">
        <v>12</v>
      </c>
      <c r="D4" s="1">
        <v>30</v>
      </c>
      <c r="E4" s="1">
        <v>40</v>
      </c>
      <c r="F4" s="1">
        <v>70</v>
      </c>
      <c r="G4" s="5">
        <v>3</v>
      </c>
    </row>
    <row r="5" spans="1:10" ht="15.75" customHeight="1" x14ac:dyDescent="0.25">
      <c r="A5" s="4">
        <v>104</v>
      </c>
      <c r="B5" s="2" t="s">
        <v>13</v>
      </c>
      <c r="C5" s="2" t="s">
        <v>14</v>
      </c>
      <c r="D5" s="2">
        <v>45</v>
      </c>
      <c r="E5" s="2">
        <v>75</v>
      </c>
      <c r="F5" s="2">
        <v>95</v>
      </c>
      <c r="G5" s="6">
        <v>5</v>
      </c>
      <c r="I5" t="s">
        <v>42</v>
      </c>
      <c r="J5" s="19">
        <f>CORREL(E2:E26,G2:G26)</f>
        <v>0.95745537036476214</v>
      </c>
    </row>
    <row r="6" spans="1:10" ht="15.75" customHeight="1" x14ac:dyDescent="0.25">
      <c r="A6" s="3">
        <v>105</v>
      </c>
      <c r="B6" s="1" t="s">
        <v>15</v>
      </c>
      <c r="C6" s="1" t="s">
        <v>16</v>
      </c>
      <c r="D6" s="1">
        <v>25</v>
      </c>
      <c r="E6" s="1">
        <v>30</v>
      </c>
      <c r="F6" s="1">
        <v>60</v>
      </c>
      <c r="G6" s="5">
        <v>2</v>
      </c>
      <c r="I6" t="s">
        <v>3</v>
      </c>
      <c r="J6" s="19">
        <f>CORREL(Table13[Hours_Worked],Table13[Performance_Rating])</f>
        <v>0.94623485838187704</v>
      </c>
    </row>
    <row r="7" spans="1:10" ht="15.75" customHeight="1" x14ac:dyDescent="0.25">
      <c r="A7" s="4">
        <v>106</v>
      </c>
      <c r="B7" s="2" t="s">
        <v>17</v>
      </c>
      <c r="C7" s="2" t="s">
        <v>8</v>
      </c>
      <c r="D7" s="2">
        <v>38</v>
      </c>
      <c r="E7" s="2">
        <v>58</v>
      </c>
      <c r="F7" s="2">
        <v>85</v>
      </c>
      <c r="G7" s="6">
        <v>4</v>
      </c>
    </row>
    <row r="8" spans="1:10" ht="15.75" customHeight="1" x14ac:dyDescent="0.25">
      <c r="A8" s="3">
        <v>107</v>
      </c>
      <c r="B8" s="1" t="s">
        <v>18</v>
      </c>
      <c r="C8" s="1" t="s">
        <v>14</v>
      </c>
      <c r="D8" s="1">
        <v>50</v>
      </c>
      <c r="E8" s="1">
        <v>80</v>
      </c>
      <c r="F8" s="1">
        <v>100</v>
      </c>
      <c r="G8" s="5">
        <v>5</v>
      </c>
    </row>
    <row r="9" spans="1:10" ht="15.75" customHeight="1" x14ac:dyDescent="0.25">
      <c r="A9" s="4">
        <v>108</v>
      </c>
      <c r="B9" s="2" t="s">
        <v>19</v>
      </c>
      <c r="C9" s="2" t="s">
        <v>12</v>
      </c>
      <c r="D9" s="2">
        <v>28</v>
      </c>
      <c r="E9" s="2">
        <v>35</v>
      </c>
      <c r="F9" s="2">
        <v>65</v>
      </c>
      <c r="G9" s="6">
        <v>3</v>
      </c>
    </row>
    <row r="10" spans="1:10" ht="15.75" customHeight="1" x14ac:dyDescent="0.25">
      <c r="A10" s="3">
        <v>109</v>
      </c>
      <c r="B10" s="1" t="s">
        <v>20</v>
      </c>
      <c r="C10" s="1" t="s">
        <v>10</v>
      </c>
      <c r="D10" s="1">
        <v>42</v>
      </c>
      <c r="E10" s="1">
        <v>70</v>
      </c>
      <c r="F10" s="1">
        <v>92</v>
      </c>
      <c r="G10" s="5">
        <v>5</v>
      </c>
    </row>
    <row r="11" spans="1:10" ht="15.75" customHeight="1" x14ac:dyDescent="0.25">
      <c r="A11" s="4">
        <v>110</v>
      </c>
      <c r="B11" s="2" t="s">
        <v>21</v>
      </c>
      <c r="C11" s="2" t="s">
        <v>8</v>
      </c>
      <c r="D11" s="2">
        <v>37</v>
      </c>
      <c r="E11" s="2">
        <v>55</v>
      </c>
      <c r="F11" s="2">
        <v>83</v>
      </c>
      <c r="G11" s="6">
        <v>4</v>
      </c>
    </row>
    <row r="12" spans="1:10" ht="15.75" customHeight="1" x14ac:dyDescent="0.25">
      <c r="A12" s="3">
        <v>111</v>
      </c>
      <c r="B12" s="1" t="s">
        <v>22</v>
      </c>
      <c r="C12" s="1" t="s">
        <v>16</v>
      </c>
      <c r="D12" s="1">
        <v>29</v>
      </c>
      <c r="E12" s="1">
        <v>38</v>
      </c>
      <c r="F12" s="1">
        <v>68</v>
      </c>
      <c r="G12" s="5">
        <v>3</v>
      </c>
    </row>
    <row r="13" spans="1:10" ht="15.75" customHeight="1" x14ac:dyDescent="0.25">
      <c r="A13" s="4">
        <v>112</v>
      </c>
      <c r="B13" s="2" t="s">
        <v>23</v>
      </c>
      <c r="C13" s="2" t="s">
        <v>10</v>
      </c>
      <c r="D13" s="2">
        <v>44</v>
      </c>
      <c r="E13" s="2">
        <v>73</v>
      </c>
      <c r="F13" s="2">
        <v>94</v>
      </c>
      <c r="G13" s="6">
        <v>5</v>
      </c>
    </row>
    <row r="14" spans="1:10" ht="15.75" customHeight="1" x14ac:dyDescent="0.25">
      <c r="A14" s="3">
        <v>113</v>
      </c>
      <c r="B14" s="1" t="s">
        <v>24</v>
      </c>
      <c r="C14" s="1" t="s">
        <v>12</v>
      </c>
      <c r="D14" s="1">
        <v>33</v>
      </c>
      <c r="E14" s="1">
        <v>45</v>
      </c>
      <c r="F14" s="1">
        <v>75</v>
      </c>
      <c r="G14" s="5">
        <v>3</v>
      </c>
    </row>
    <row r="15" spans="1:10" ht="15.75" customHeight="1" x14ac:dyDescent="0.25">
      <c r="A15" s="4">
        <v>114</v>
      </c>
      <c r="B15" s="2" t="s">
        <v>25</v>
      </c>
      <c r="C15" s="2" t="s">
        <v>8</v>
      </c>
      <c r="D15" s="2">
        <v>41</v>
      </c>
      <c r="E15" s="2">
        <v>66</v>
      </c>
      <c r="F15" s="2">
        <v>89</v>
      </c>
      <c r="G15" s="6">
        <v>4</v>
      </c>
    </row>
    <row r="16" spans="1:10" ht="15.75" customHeight="1" x14ac:dyDescent="0.25">
      <c r="A16" s="3">
        <v>115</v>
      </c>
      <c r="B16" s="1" t="s">
        <v>26</v>
      </c>
      <c r="C16" s="1" t="s">
        <v>14</v>
      </c>
      <c r="D16" s="1">
        <v>48</v>
      </c>
      <c r="E16" s="1">
        <v>78</v>
      </c>
      <c r="F16" s="1">
        <v>98</v>
      </c>
      <c r="G16" s="5">
        <v>5</v>
      </c>
    </row>
    <row r="17" spans="1:7" ht="15.75" customHeight="1" x14ac:dyDescent="0.25">
      <c r="A17" s="4">
        <v>116</v>
      </c>
      <c r="B17" s="2" t="s">
        <v>27</v>
      </c>
      <c r="C17" s="2" t="s">
        <v>16</v>
      </c>
      <c r="D17" s="2">
        <v>26</v>
      </c>
      <c r="E17" s="2">
        <v>32</v>
      </c>
      <c r="F17" s="2">
        <v>62</v>
      </c>
      <c r="G17" s="6">
        <v>2</v>
      </c>
    </row>
    <row r="18" spans="1:7" ht="15.75" customHeight="1" x14ac:dyDescent="0.25">
      <c r="A18" s="3">
        <v>117</v>
      </c>
      <c r="B18" s="1" t="s">
        <v>28</v>
      </c>
      <c r="C18" s="1" t="s">
        <v>12</v>
      </c>
      <c r="D18" s="1">
        <v>31</v>
      </c>
      <c r="E18" s="1">
        <v>42</v>
      </c>
      <c r="F18" s="1">
        <v>72</v>
      </c>
      <c r="G18" s="5">
        <v>3</v>
      </c>
    </row>
    <row r="19" spans="1:7" ht="15.75" customHeight="1" x14ac:dyDescent="0.25">
      <c r="A19" s="4">
        <v>118</v>
      </c>
      <c r="B19" s="2" t="s">
        <v>29</v>
      </c>
      <c r="C19" s="2" t="s">
        <v>10</v>
      </c>
      <c r="D19" s="2">
        <v>43</v>
      </c>
      <c r="E19" s="2">
        <v>75</v>
      </c>
      <c r="F19" s="2">
        <v>93</v>
      </c>
      <c r="G19" s="6">
        <v>5</v>
      </c>
    </row>
    <row r="20" spans="1:7" ht="15.75" customHeight="1" x14ac:dyDescent="0.25">
      <c r="A20" s="3">
        <v>119</v>
      </c>
      <c r="B20" s="1" t="s">
        <v>30</v>
      </c>
      <c r="C20" s="1" t="s">
        <v>14</v>
      </c>
      <c r="D20" s="1">
        <v>39</v>
      </c>
      <c r="E20" s="1">
        <v>60</v>
      </c>
      <c r="F20" s="1">
        <v>87</v>
      </c>
      <c r="G20" s="5">
        <v>4</v>
      </c>
    </row>
    <row r="21" spans="1:7" ht="15.75" customHeight="1" x14ac:dyDescent="0.25">
      <c r="A21" s="4">
        <v>120</v>
      </c>
      <c r="B21" s="2" t="s">
        <v>31</v>
      </c>
      <c r="C21" s="2" t="s">
        <v>8</v>
      </c>
      <c r="D21" s="2">
        <v>36</v>
      </c>
      <c r="E21" s="2">
        <v>52</v>
      </c>
      <c r="F21" s="2">
        <v>78</v>
      </c>
      <c r="G21" s="6">
        <v>4</v>
      </c>
    </row>
    <row r="22" spans="1:7" ht="15.75" customHeight="1" x14ac:dyDescent="0.25">
      <c r="A22" s="3">
        <v>121</v>
      </c>
      <c r="B22" s="1" t="s">
        <v>32</v>
      </c>
      <c r="C22" s="1" t="s">
        <v>16</v>
      </c>
      <c r="D22" s="1">
        <v>27</v>
      </c>
      <c r="E22" s="1">
        <v>34</v>
      </c>
      <c r="F22" s="1">
        <v>64</v>
      </c>
      <c r="G22" s="5">
        <v>2</v>
      </c>
    </row>
    <row r="23" spans="1:7" ht="15.75" customHeight="1" x14ac:dyDescent="0.25">
      <c r="A23" s="4">
        <v>122</v>
      </c>
      <c r="B23" s="2" t="s">
        <v>33</v>
      </c>
      <c r="C23" s="2" t="s">
        <v>12</v>
      </c>
      <c r="D23" s="2">
        <v>32</v>
      </c>
      <c r="E23" s="2">
        <v>44</v>
      </c>
      <c r="F23" s="2">
        <v>74</v>
      </c>
      <c r="G23" s="6">
        <v>3</v>
      </c>
    </row>
    <row r="24" spans="1:7" ht="15.75" customHeight="1" x14ac:dyDescent="0.25">
      <c r="A24" s="3">
        <v>123</v>
      </c>
      <c r="B24" s="1" t="s">
        <v>34</v>
      </c>
      <c r="C24" s="1" t="s">
        <v>10</v>
      </c>
      <c r="D24" s="1">
        <v>46</v>
      </c>
      <c r="E24" s="1">
        <v>77</v>
      </c>
      <c r="F24" s="1">
        <v>96</v>
      </c>
      <c r="G24" s="5">
        <v>5</v>
      </c>
    </row>
    <row r="25" spans="1:7" ht="15.75" customHeight="1" x14ac:dyDescent="0.25">
      <c r="A25" s="4">
        <v>124</v>
      </c>
      <c r="B25" s="2" t="s">
        <v>35</v>
      </c>
      <c r="C25" s="2" t="s">
        <v>8</v>
      </c>
      <c r="D25" s="2">
        <v>34</v>
      </c>
      <c r="E25" s="2">
        <v>48</v>
      </c>
      <c r="F25" s="2">
        <v>76</v>
      </c>
      <c r="G25" s="6">
        <v>3</v>
      </c>
    </row>
    <row r="26" spans="1:7" ht="15.75" customHeight="1" x14ac:dyDescent="0.25">
      <c r="A26" s="10">
        <v>125</v>
      </c>
      <c r="B26" s="11" t="s">
        <v>36</v>
      </c>
      <c r="C26" s="11" t="s">
        <v>14</v>
      </c>
      <c r="D26" s="11">
        <v>47</v>
      </c>
      <c r="E26" s="11">
        <v>79</v>
      </c>
      <c r="F26" s="11">
        <v>99</v>
      </c>
      <c r="G26" s="12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822B-3745-476A-A472-9207E154E9A8}">
  <dimension ref="A1:K26"/>
  <sheetViews>
    <sheetView workbookViewId="0">
      <selection activeCell="E62" sqref="E62"/>
    </sheetView>
  </sheetViews>
  <sheetFormatPr defaultRowHeight="12.75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  <col min="10" max="10" width="18.5703125" bestFit="1" customWidth="1"/>
  </cols>
  <sheetData>
    <row r="1" spans="1:11" ht="1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11" ht="15" hidden="1" x14ac:dyDescent="0.25">
      <c r="A2" s="4">
        <v>102</v>
      </c>
      <c r="B2" s="2" t="s">
        <v>9</v>
      </c>
      <c r="C2" s="2" t="s">
        <v>10</v>
      </c>
      <c r="D2" s="2">
        <v>40</v>
      </c>
      <c r="E2" s="2">
        <v>65</v>
      </c>
      <c r="F2" s="2">
        <v>90</v>
      </c>
      <c r="G2" s="6">
        <v>5</v>
      </c>
    </row>
    <row r="3" spans="1:11" ht="15" hidden="1" x14ac:dyDescent="0.25">
      <c r="A3" s="4">
        <v>104</v>
      </c>
      <c r="B3" s="2" t="s">
        <v>13</v>
      </c>
      <c r="C3" s="2" t="s">
        <v>14</v>
      </c>
      <c r="D3" s="2">
        <v>45</v>
      </c>
      <c r="E3" s="2">
        <v>75</v>
      </c>
      <c r="F3" s="2">
        <v>95</v>
      </c>
      <c r="G3" s="6">
        <v>5</v>
      </c>
    </row>
    <row r="4" spans="1:11" ht="15" hidden="1" x14ac:dyDescent="0.25">
      <c r="A4" s="3">
        <v>107</v>
      </c>
      <c r="B4" s="1" t="s">
        <v>18</v>
      </c>
      <c r="C4" s="1" t="s">
        <v>14</v>
      </c>
      <c r="D4" s="1">
        <v>50</v>
      </c>
      <c r="E4" s="1">
        <v>80</v>
      </c>
      <c r="F4" s="1">
        <v>100</v>
      </c>
      <c r="G4" s="5">
        <v>5</v>
      </c>
      <c r="J4" t="s">
        <v>43</v>
      </c>
      <c r="K4">
        <f>AVERAGE(Table135[Hours_Worked])</f>
        <v>37.04</v>
      </c>
    </row>
    <row r="5" spans="1:11" ht="15" hidden="1" x14ac:dyDescent="0.25">
      <c r="A5" s="3">
        <v>109</v>
      </c>
      <c r="B5" s="1" t="s">
        <v>20</v>
      </c>
      <c r="C5" s="1" t="s">
        <v>10</v>
      </c>
      <c r="D5" s="1">
        <v>42</v>
      </c>
      <c r="E5" s="1">
        <v>70</v>
      </c>
      <c r="F5" s="1">
        <v>92</v>
      </c>
      <c r="G5" s="5">
        <v>5</v>
      </c>
    </row>
    <row r="6" spans="1:11" ht="15" hidden="1" x14ac:dyDescent="0.25">
      <c r="A6" s="4">
        <v>112</v>
      </c>
      <c r="B6" s="2" t="s">
        <v>23</v>
      </c>
      <c r="C6" s="2" t="s">
        <v>10</v>
      </c>
      <c r="D6" s="2">
        <v>44</v>
      </c>
      <c r="E6" s="2">
        <v>73</v>
      </c>
      <c r="F6" s="2">
        <v>94</v>
      </c>
      <c r="G6" s="6">
        <v>5</v>
      </c>
    </row>
    <row r="7" spans="1:11" ht="15" hidden="1" x14ac:dyDescent="0.25">
      <c r="A7" s="3">
        <v>115</v>
      </c>
      <c r="B7" s="1" t="s">
        <v>26</v>
      </c>
      <c r="C7" s="1" t="s">
        <v>14</v>
      </c>
      <c r="D7" s="1">
        <v>48</v>
      </c>
      <c r="E7" s="1">
        <v>78</v>
      </c>
      <c r="F7" s="1">
        <v>98</v>
      </c>
      <c r="G7" s="5">
        <v>5</v>
      </c>
    </row>
    <row r="8" spans="1:11" ht="15" hidden="1" x14ac:dyDescent="0.25">
      <c r="A8" s="4">
        <v>118</v>
      </c>
      <c r="B8" s="2" t="s">
        <v>29</v>
      </c>
      <c r="C8" s="2" t="s">
        <v>10</v>
      </c>
      <c r="D8" s="2">
        <v>43</v>
      </c>
      <c r="E8" s="2">
        <v>75</v>
      </c>
      <c r="F8" s="2">
        <v>93</v>
      </c>
      <c r="G8" s="6">
        <v>5</v>
      </c>
    </row>
    <row r="9" spans="1:11" ht="15" hidden="1" x14ac:dyDescent="0.25">
      <c r="A9" s="3">
        <v>123</v>
      </c>
      <c r="B9" s="1" t="s">
        <v>34</v>
      </c>
      <c r="C9" s="1" t="s">
        <v>10</v>
      </c>
      <c r="D9" s="1">
        <v>46</v>
      </c>
      <c r="E9" s="1">
        <v>77</v>
      </c>
      <c r="F9" s="1">
        <v>96</v>
      </c>
      <c r="G9" s="5">
        <v>5</v>
      </c>
    </row>
    <row r="10" spans="1:11" ht="15" hidden="1" x14ac:dyDescent="0.25">
      <c r="A10" s="3">
        <v>125</v>
      </c>
      <c r="B10" s="1" t="s">
        <v>36</v>
      </c>
      <c r="C10" s="1" t="s">
        <v>14</v>
      </c>
      <c r="D10" s="1">
        <v>47</v>
      </c>
      <c r="E10" s="1">
        <v>79</v>
      </c>
      <c r="F10" s="1">
        <v>99</v>
      </c>
      <c r="G10" s="5">
        <v>5</v>
      </c>
    </row>
    <row r="11" spans="1:11" ht="15" x14ac:dyDescent="0.25">
      <c r="A11" s="3">
        <v>101</v>
      </c>
      <c r="B11" s="1" t="s">
        <v>7</v>
      </c>
      <c r="C11" s="1" t="s">
        <v>8</v>
      </c>
      <c r="D11" s="1">
        <v>35</v>
      </c>
      <c r="E11" s="1">
        <v>50</v>
      </c>
      <c r="F11" s="1">
        <v>80</v>
      </c>
      <c r="G11" s="5">
        <v>4</v>
      </c>
    </row>
    <row r="12" spans="1:11" ht="15" hidden="1" x14ac:dyDescent="0.25">
      <c r="A12" s="4">
        <v>106</v>
      </c>
      <c r="B12" s="2" t="s">
        <v>17</v>
      </c>
      <c r="C12" s="2" t="s">
        <v>8</v>
      </c>
      <c r="D12" s="2">
        <v>38</v>
      </c>
      <c r="E12" s="2">
        <v>58</v>
      </c>
      <c r="F12" s="2">
        <v>85</v>
      </c>
      <c r="G12" s="6">
        <v>4</v>
      </c>
    </row>
    <row r="13" spans="1:11" ht="15" x14ac:dyDescent="0.25">
      <c r="A13" s="4">
        <v>110</v>
      </c>
      <c r="B13" s="2" t="s">
        <v>21</v>
      </c>
      <c r="C13" s="2" t="s">
        <v>8</v>
      </c>
      <c r="D13" s="2">
        <v>37</v>
      </c>
      <c r="E13" s="2">
        <v>55</v>
      </c>
      <c r="F13" s="2">
        <v>83</v>
      </c>
      <c r="G13" s="6">
        <v>4</v>
      </c>
    </row>
    <row r="14" spans="1:11" ht="15" hidden="1" x14ac:dyDescent="0.25">
      <c r="A14" s="4">
        <v>114</v>
      </c>
      <c r="B14" s="2" t="s">
        <v>25</v>
      </c>
      <c r="C14" s="2" t="s">
        <v>8</v>
      </c>
      <c r="D14" s="2">
        <v>41</v>
      </c>
      <c r="E14" s="2">
        <v>66</v>
      </c>
      <c r="F14" s="2">
        <v>89</v>
      </c>
      <c r="G14" s="6">
        <v>4</v>
      </c>
    </row>
    <row r="15" spans="1:11" ht="15" hidden="1" x14ac:dyDescent="0.25">
      <c r="A15" s="3">
        <v>119</v>
      </c>
      <c r="B15" s="1" t="s">
        <v>30</v>
      </c>
      <c r="C15" s="1" t="s">
        <v>14</v>
      </c>
      <c r="D15" s="1">
        <v>39</v>
      </c>
      <c r="E15" s="1">
        <v>60</v>
      </c>
      <c r="F15" s="1">
        <v>87</v>
      </c>
      <c r="G15" s="5">
        <v>4</v>
      </c>
    </row>
    <row r="16" spans="1:11" ht="15" x14ac:dyDescent="0.25">
      <c r="A16" s="4">
        <v>120</v>
      </c>
      <c r="B16" s="2" t="s">
        <v>31</v>
      </c>
      <c r="C16" s="2" t="s">
        <v>8</v>
      </c>
      <c r="D16" s="2">
        <v>36</v>
      </c>
      <c r="E16" s="2">
        <v>52</v>
      </c>
      <c r="F16" s="2">
        <v>78</v>
      </c>
      <c r="G16" s="6">
        <v>4</v>
      </c>
    </row>
    <row r="17" spans="1:7" ht="15" hidden="1" x14ac:dyDescent="0.25">
      <c r="A17" s="3">
        <v>103</v>
      </c>
      <c r="B17" s="1" t="s">
        <v>11</v>
      </c>
      <c r="C17" s="1" t="s">
        <v>12</v>
      </c>
      <c r="D17" s="1">
        <v>30</v>
      </c>
      <c r="E17" s="1">
        <v>40</v>
      </c>
      <c r="F17" s="1">
        <v>70</v>
      </c>
      <c r="G17" s="5">
        <v>3</v>
      </c>
    </row>
    <row r="18" spans="1:7" ht="15" hidden="1" x14ac:dyDescent="0.25">
      <c r="A18" s="4">
        <v>108</v>
      </c>
      <c r="B18" s="2" t="s">
        <v>19</v>
      </c>
      <c r="C18" s="2" t="s">
        <v>12</v>
      </c>
      <c r="D18" s="2">
        <v>28</v>
      </c>
      <c r="E18" s="2">
        <v>35</v>
      </c>
      <c r="F18" s="2">
        <v>65</v>
      </c>
      <c r="G18" s="6">
        <v>3</v>
      </c>
    </row>
    <row r="19" spans="1:7" ht="15" hidden="1" x14ac:dyDescent="0.25">
      <c r="A19" s="3">
        <v>111</v>
      </c>
      <c r="B19" s="1" t="s">
        <v>22</v>
      </c>
      <c r="C19" s="1" t="s">
        <v>16</v>
      </c>
      <c r="D19" s="1">
        <v>29</v>
      </c>
      <c r="E19" s="1">
        <v>38</v>
      </c>
      <c r="F19" s="1">
        <v>68</v>
      </c>
      <c r="G19" s="5">
        <v>3</v>
      </c>
    </row>
    <row r="20" spans="1:7" ht="15" hidden="1" x14ac:dyDescent="0.25">
      <c r="A20" s="3">
        <v>113</v>
      </c>
      <c r="B20" s="1" t="s">
        <v>24</v>
      </c>
      <c r="C20" s="1" t="s">
        <v>12</v>
      </c>
      <c r="D20" s="1">
        <v>33</v>
      </c>
      <c r="E20" s="1">
        <v>45</v>
      </c>
      <c r="F20" s="1">
        <v>75</v>
      </c>
      <c r="G20" s="5">
        <v>3</v>
      </c>
    </row>
    <row r="21" spans="1:7" ht="15" hidden="1" x14ac:dyDescent="0.25">
      <c r="A21" s="3">
        <v>117</v>
      </c>
      <c r="B21" s="1" t="s">
        <v>28</v>
      </c>
      <c r="C21" s="1" t="s">
        <v>12</v>
      </c>
      <c r="D21" s="1">
        <v>31</v>
      </c>
      <c r="E21" s="1">
        <v>42</v>
      </c>
      <c r="F21" s="1">
        <v>72</v>
      </c>
      <c r="G21" s="5">
        <v>3</v>
      </c>
    </row>
    <row r="22" spans="1:7" ht="15" hidden="1" x14ac:dyDescent="0.25">
      <c r="A22" s="4">
        <v>122</v>
      </c>
      <c r="B22" s="2" t="s">
        <v>33</v>
      </c>
      <c r="C22" s="2" t="s">
        <v>12</v>
      </c>
      <c r="D22" s="2">
        <v>32</v>
      </c>
      <c r="E22" s="2">
        <v>44</v>
      </c>
      <c r="F22" s="2">
        <v>74</v>
      </c>
      <c r="G22" s="6">
        <v>3</v>
      </c>
    </row>
    <row r="23" spans="1:7" ht="15" hidden="1" x14ac:dyDescent="0.25">
      <c r="A23" s="4">
        <v>124</v>
      </c>
      <c r="B23" s="2" t="s">
        <v>35</v>
      </c>
      <c r="C23" s="2" t="s">
        <v>8</v>
      </c>
      <c r="D23" s="2">
        <v>34</v>
      </c>
      <c r="E23" s="2">
        <v>48</v>
      </c>
      <c r="F23" s="2">
        <v>76</v>
      </c>
      <c r="G23" s="6">
        <v>3</v>
      </c>
    </row>
    <row r="24" spans="1:7" ht="15" hidden="1" x14ac:dyDescent="0.25">
      <c r="A24" s="3">
        <v>105</v>
      </c>
      <c r="B24" s="1" t="s">
        <v>15</v>
      </c>
      <c r="C24" s="1" t="s">
        <v>16</v>
      </c>
      <c r="D24" s="1">
        <v>25</v>
      </c>
      <c r="E24" s="1">
        <v>30</v>
      </c>
      <c r="F24" s="1">
        <v>60</v>
      </c>
      <c r="G24" s="5">
        <v>2</v>
      </c>
    </row>
    <row r="25" spans="1:7" ht="15" hidden="1" x14ac:dyDescent="0.25">
      <c r="A25" s="4">
        <v>116</v>
      </c>
      <c r="B25" s="2" t="s">
        <v>27</v>
      </c>
      <c r="C25" s="2" t="s">
        <v>16</v>
      </c>
      <c r="D25" s="2">
        <v>26</v>
      </c>
      <c r="E25" s="2">
        <v>32</v>
      </c>
      <c r="F25" s="2">
        <v>62</v>
      </c>
      <c r="G25" s="6">
        <v>2</v>
      </c>
    </row>
    <row r="26" spans="1:7" ht="15" hidden="1" x14ac:dyDescent="0.25">
      <c r="A26" s="10">
        <v>121</v>
      </c>
      <c r="B26" s="11" t="s">
        <v>32</v>
      </c>
      <c r="C26" s="11" t="s">
        <v>16</v>
      </c>
      <c r="D26" s="11">
        <v>27</v>
      </c>
      <c r="E26" s="11">
        <v>34</v>
      </c>
      <c r="F26" s="11">
        <v>64</v>
      </c>
      <c r="G26" s="12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1018-D94E-499E-B132-AAAB3E21A07B}">
  <sheetPr>
    <outlinePr summaryBelow="0" summaryRight="0"/>
  </sheetPr>
  <dimension ref="A1:N26"/>
  <sheetViews>
    <sheetView tabSelected="1" workbookViewId="0">
      <selection activeCell="M7" sqref="M7"/>
    </sheetView>
  </sheetViews>
  <sheetFormatPr defaultColWidth="12.5703125" defaultRowHeight="15.75" customHeight="1" x14ac:dyDescent="0.2"/>
  <cols>
    <col min="1" max="1" width="17.28515625" bestFit="1" customWidth="1"/>
    <col min="2" max="2" width="10.85546875" bestFit="1" customWidth="1"/>
    <col min="3" max="3" width="16.28515625" bestFit="1" customWidth="1"/>
    <col min="4" max="4" width="19" bestFit="1" customWidth="1"/>
    <col min="5" max="5" width="21.28515625" bestFit="1" customWidth="1"/>
    <col min="6" max="6" width="22.42578125" bestFit="1" customWidth="1"/>
    <col min="7" max="7" width="23.85546875" bestFit="1" customWidth="1"/>
    <col min="8" max="8" width="18.5703125" bestFit="1" customWidth="1"/>
    <col min="13" max="13" width="18" bestFit="1" customWidth="1"/>
  </cols>
  <sheetData>
    <row r="1" spans="1:14" ht="15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44</v>
      </c>
    </row>
    <row r="2" spans="1:14" ht="15.75" customHeight="1" x14ac:dyDescent="0.25">
      <c r="A2" s="4">
        <v>118</v>
      </c>
      <c r="B2" s="2" t="s">
        <v>29</v>
      </c>
      <c r="C2" s="2" t="s">
        <v>10</v>
      </c>
      <c r="D2" s="2">
        <v>43</v>
      </c>
      <c r="E2" s="2">
        <v>75</v>
      </c>
      <c r="F2" s="2">
        <v>93</v>
      </c>
      <c r="G2" s="6">
        <v>5</v>
      </c>
      <c r="H2" s="17">
        <f>Table17[[#This Row],[Tasks_Completed]]/Table17[[#This Row],[Hours_Worked]]</f>
        <v>1.7441860465116279</v>
      </c>
    </row>
    <row r="3" spans="1:14" ht="15.75" customHeight="1" x14ac:dyDescent="0.25">
      <c r="A3" s="3">
        <v>125</v>
      </c>
      <c r="B3" s="1" t="s">
        <v>36</v>
      </c>
      <c r="C3" s="1" t="s">
        <v>14</v>
      </c>
      <c r="D3" s="1">
        <v>47</v>
      </c>
      <c r="E3" s="1">
        <v>79</v>
      </c>
      <c r="F3" s="1">
        <v>99</v>
      </c>
      <c r="G3" s="5">
        <v>5</v>
      </c>
      <c r="H3" s="18">
        <f>Table17[[#This Row],[Tasks_Completed]]/Table17[[#This Row],[Hours_Worked]]</f>
        <v>1.6808510638297873</v>
      </c>
      <c r="L3" s="21" t="s">
        <v>46</v>
      </c>
      <c r="M3" t="s">
        <v>45</v>
      </c>
      <c r="N3">
        <f>MAX(Table17[Tasks per Hour])</f>
        <v>1.7441860465116279</v>
      </c>
    </row>
    <row r="4" spans="1:14" ht="15.75" customHeight="1" x14ac:dyDescent="0.25">
      <c r="A4" s="3">
        <v>123</v>
      </c>
      <c r="B4" s="1" t="s">
        <v>34</v>
      </c>
      <c r="C4" s="1" t="s">
        <v>10</v>
      </c>
      <c r="D4" s="1">
        <v>46</v>
      </c>
      <c r="E4" s="1">
        <v>77</v>
      </c>
      <c r="F4" s="1">
        <v>96</v>
      </c>
      <c r="G4" s="5">
        <v>5</v>
      </c>
      <c r="H4" s="18">
        <f>Table17[[#This Row],[Tasks_Completed]]/Table17[[#This Row],[Hours_Worked]]</f>
        <v>1.673913043478261</v>
      </c>
    </row>
    <row r="5" spans="1:14" ht="15.75" customHeight="1" x14ac:dyDescent="0.25">
      <c r="A5" s="4">
        <v>104</v>
      </c>
      <c r="B5" s="2" t="s">
        <v>13</v>
      </c>
      <c r="C5" s="2" t="s">
        <v>14</v>
      </c>
      <c r="D5" s="2">
        <v>45</v>
      </c>
      <c r="E5" s="2">
        <v>75</v>
      </c>
      <c r="F5" s="2">
        <v>95</v>
      </c>
      <c r="G5" s="6">
        <v>5</v>
      </c>
      <c r="H5" s="18">
        <f>Table17[[#This Row],[Tasks_Completed]]/Table17[[#This Row],[Hours_Worked]]</f>
        <v>1.6666666666666667</v>
      </c>
      <c r="L5" s="21" t="s">
        <v>47</v>
      </c>
      <c r="M5" t="s">
        <v>45</v>
      </c>
      <c r="N5" t="str">
        <f>INDEX(Table17[Name],Table17[Tasks per Hour])</f>
        <v>Arjun</v>
      </c>
    </row>
    <row r="6" spans="1:14" ht="15.75" customHeight="1" x14ac:dyDescent="0.25">
      <c r="A6" s="3">
        <v>109</v>
      </c>
      <c r="B6" s="1" t="s">
        <v>20</v>
      </c>
      <c r="C6" s="1" t="s">
        <v>10</v>
      </c>
      <c r="D6" s="1">
        <v>42</v>
      </c>
      <c r="E6" s="1">
        <v>70</v>
      </c>
      <c r="F6" s="1">
        <v>92</v>
      </c>
      <c r="G6" s="5">
        <v>5</v>
      </c>
      <c r="H6" s="18">
        <f>Table17[[#This Row],[Tasks_Completed]]/Table17[[#This Row],[Hours_Worked]]</f>
        <v>1.6666666666666667</v>
      </c>
    </row>
    <row r="7" spans="1:14" ht="15.75" customHeight="1" x14ac:dyDescent="0.25">
      <c r="A7" s="4">
        <v>112</v>
      </c>
      <c r="B7" s="2" t="s">
        <v>23</v>
      </c>
      <c r="C7" s="2" t="s">
        <v>10</v>
      </c>
      <c r="D7" s="2">
        <v>44</v>
      </c>
      <c r="E7" s="2">
        <v>73</v>
      </c>
      <c r="F7" s="2">
        <v>94</v>
      </c>
      <c r="G7" s="6">
        <v>5</v>
      </c>
      <c r="H7" s="18">
        <f>Table17[[#This Row],[Tasks_Completed]]/Table17[[#This Row],[Hours_Worked]]</f>
        <v>1.6590909090909092</v>
      </c>
    </row>
    <row r="8" spans="1:14" ht="15.75" customHeight="1" x14ac:dyDescent="0.25">
      <c r="A8" s="4">
        <v>102</v>
      </c>
      <c r="B8" s="2" t="s">
        <v>9</v>
      </c>
      <c r="C8" s="2" t="s">
        <v>10</v>
      </c>
      <c r="D8" s="2">
        <v>40</v>
      </c>
      <c r="E8" s="2">
        <v>65</v>
      </c>
      <c r="F8" s="2">
        <v>90</v>
      </c>
      <c r="G8" s="6">
        <v>5</v>
      </c>
      <c r="H8" s="18">
        <f>Table17[[#This Row],[Tasks_Completed]]/Table17[[#This Row],[Hours_Worked]]</f>
        <v>1.625</v>
      </c>
    </row>
    <row r="9" spans="1:14" ht="15.75" customHeight="1" x14ac:dyDescent="0.25">
      <c r="A9" s="3">
        <v>115</v>
      </c>
      <c r="B9" s="1" t="s">
        <v>26</v>
      </c>
      <c r="C9" s="1" t="s">
        <v>14</v>
      </c>
      <c r="D9" s="1">
        <v>48</v>
      </c>
      <c r="E9" s="1">
        <v>78</v>
      </c>
      <c r="F9" s="1">
        <v>98</v>
      </c>
      <c r="G9" s="5">
        <v>5</v>
      </c>
      <c r="H9" s="18">
        <f>Table17[[#This Row],[Tasks_Completed]]/Table17[[#This Row],[Hours_Worked]]</f>
        <v>1.625</v>
      </c>
    </row>
    <row r="10" spans="1:14" ht="15.75" customHeight="1" x14ac:dyDescent="0.25">
      <c r="A10" s="4">
        <v>114</v>
      </c>
      <c r="B10" s="2" t="s">
        <v>25</v>
      </c>
      <c r="C10" s="2" t="s">
        <v>8</v>
      </c>
      <c r="D10" s="2">
        <v>41</v>
      </c>
      <c r="E10" s="2">
        <v>66</v>
      </c>
      <c r="F10" s="2">
        <v>89</v>
      </c>
      <c r="G10" s="6">
        <v>4</v>
      </c>
      <c r="H10" s="18">
        <f>Table17[[#This Row],[Tasks_Completed]]/Table17[[#This Row],[Hours_Worked]]</f>
        <v>1.6097560975609757</v>
      </c>
    </row>
    <row r="11" spans="1:14" ht="15.75" customHeight="1" x14ac:dyDescent="0.25">
      <c r="A11" s="3">
        <v>107</v>
      </c>
      <c r="B11" s="1" t="s">
        <v>18</v>
      </c>
      <c r="C11" s="1" t="s">
        <v>14</v>
      </c>
      <c r="D11" s="1">
        <v>50</v>
      </c>
      <c r="E11" s="1">
        <v>80</v>
      </c>
      <c r="F11" s="1">
        <v>100</v>
      </c>
      <c r="G11" s="5">
        <v>5</v>
      </c>
      <c r="H11" s="18">
        <f>Table17[[#This Row],[Tasks_Completed]]/Table17[[#This Row],[Hours_Worked]]</f>
        <v>1.6</v>
      </c>
    </row>
    <row r="12" spans="1:14" ht="15.75" customHeight="1" x14ac:dyDescent="0.25">
      <c r="A12" s="3">
        <v>119</v>
      </c>
      <c r="B12" s="1" t="s">
        <v>30</v>
      </c>
      <c r="C12" s="1" t="s">
        <v>14</v>
      </c>
      <c r="D12" s="1">
        <v>39</v>
      </c>
      <c r="E12" s="1">
        <v>60</v>
      </c>
      <c r="F12" s="1">
        <v>87</v>
      </c>
      <c r="G12" s="5">
        <v>4</v>
      </c>
      <c r="H12" s="18">
        <f>Table17[[#This Row],[Tasks_Completed]]/Table17[[#This Row],[Hours_Worked]]</f>
        <v>1.5384615384615385</v>
      </c>
    </row>
    <row r="13" spans="1:14" ht="15.75" customHeight="1" x14ac:dyDescent="0.25">
      <c r="A13" s="4">
        <v>106</v>
      </c>
      <c r="B13" s="2" t="s">
        <v>17</v>
      </c>
      <c r="C13" s="2" t="s">
        <v>8</v>
      </c>
      <c r="D13" s="2">
        <v>38</v>
      </c>
      <c r="E13" s="2">
        <v>58</v>
      </c>
      <c r="F13" s="2">
        <v>85</v>
      </c>
      <c r="G13" s="6">
        <v>4</v>
      </c>
      <c r="H13" s="18">
        <f>Table17[[#This Row],[Tasks_Completed]]/Table17[[#This Row],[Hours_Worked]]</f>
        <v>1.5263157894736843</v>
      </c>
    </row>
    <row r="14" spans="1:14" ht="15.75" customHeight="1" x14ac:dyDescent="0.25">
      <c r="A14" s="4">
        <v>110</v>
      </c>
      <c r="B14" s="2" t="s">
        <v>21</v>
      </c>
      <c r="C14" s="2" t="s">
        <v>8</v>
      </c>
      <c r="D14" s="2">
        <v>37</v>
      </c>
      <c r="E14" s="2">
        <v>55</v>
      </c>
      <c r="F14" s="2">
        <v>83</v>
      </c>
      <c r="G14" s="6">
        <v>4</v>
      </c>
      <c r="H14" s="18">
        <f>Table17[[#This Row],[Tasks_Completed]]/Table17[[#This Row],[Hours_Worked]]</f>
        <v>1.4864864864864864</v>
      </c>
    </row>
    <row r="15" spans="1:14" ht="15.75" customHeight="1" x14ac:dyDescent="0.25">
      <c r="A15" s="4">
        <v>120</v>
      </c>
      <c r="B15" s="2" t="s">
        <v>31</v>
      </c>
      <c r="C15" s="2" t="s">
        <v>8</v>
      </c>
      <c r="D15" s="2">
        <v>36</v>
      </c>
      <c r="E15" s="2">
        <v>52</v>
      </c>
      <c r="F15" s="2">
        <v>78</v>
      </c>
      <c r="G15" s="6">
        <v>4</v>
      </c>
      <c r="H15" s="18">
        <f>Table17[[#This Row],[Tasks_Completed]]/Table17[[#This Row],[Hours_Worked]]</f>
        <v>1.4444444444444444</v>
      </c>
    </row>
    <row r="16" spans="1:14" ht="15.75" customHeight="1" x14ac:dyDescent="0.25">
      <c r="A16" s="3">
        <v>101</v>
      </c>
      <c r="B16" s="1" t="s">
        <v>7</v>
      </c>
      <c r="C16" s="1" t="s">
        <v>8</v>
      </c>
      <c r="D16" s="1">
        <v>35</v>
      </c>
      <c r="E16" s="1">
        <v>50</v>
      </c>
      <c r="F16" s="1">
        <v>80</v>
      </c>
      <c r="G16" s="5">
        <v>4</v>
      </c>
      <c r="H16" s="18">
        <f>Table17[[#This Row],[Tasks_Completed]]/Table17[[#This Row],[Hours_Worked]]</f>
        <v>1.4285714285714286</v>
      </c>
    </row>
    <row r="17" spans="1:8" ht="15.75" customHeight="1" x14ac:dyDescent="0.25">
      <c r="A17" s="4">
        <v>124</v>
      </c>
      <c r="B17" s="2" t="s">
        <v>35</v>
      </c>
      <c r="C17" s="2" t="s">
        <v>8</v>
      </c>
      <c r="D17" s="2">
        <v>34</v>
      </c>
      <c r="E17" s="2">
        <v>48</v>
      </c>
      <c r="F17" s="2">
        <v>76</v>
      </c>
      <c r="G17" s="6">
        <v>3</v>
      </c>
      <c r="H17" s="18">
        <f>Table17[[#This Row],[Tasks_Completed]]/Table17[[#This Row],[Hours_Worked]]</f>
        <v>1.411764705882353</v>
      </c>
    </row>
    <row r="18" spans="1:8" ht="15.75" customHeight="1" x14ac:dyDescent="0.25">
      <c r="A18" s="4">
        <v>122</v>
      </c>
      <c r="B18" s="2" t="s">
        <v>33</v>
      </c>
      <c r="C18" s="2" t="s">
        <v>12</v>
      </c>
      <c r="D18" s="2">
        <v>32</v>
      </c>
      <c r="E18" s="2">
        <v>44</v>
      </c>
      <c r="F18" s="2">
        <v>74</v>
      </c>
      <c r="G18" s="6">
        <v>3</v>
      </c>
      <c r="H18" s="18">
        <f>Table17[[#This Row],[Tasks_Completed]]/Table17[[#This Row],[Hours_Worked]]</f>
        <v>1.375</v>
      </c>
    </row>
    <row r="19" spans="1:8" ht="15.75" customHeight="1" x14ac:dyDescent="0.25">
      <c r="A19" s="3">
        <v>113</v>
      </c>
      <c r="B19" s="1" t="s">
        <v>24</v>
      </c>
      <c r="C19" s="1" t="s">
        <v>12</v>
      </c>
      <c r="D19" s="1">
        <v>33</v>
      </c>
      <c r="E19" s="1">
        <v>45</v>
      </c>
      <c r="F19" s="1">
        <v>75</v>
      </c>
      <c r="G19" s="5">
        <v>3</v>
      </c>
      <c r="H19" s="18">
        <f>Table17[[#This Row],[Tasks_Completed]]/Table17[[#This Row],[Hours_Worked]]</f>
        <v>1.3636363636363635</v>
      </c>
    </row>
    <row r="20" spans="1:8" ht="15.75" customHeight="1" x14ac:dyDescent="0.25">
      <c r="A20" s="3">
        <v>117</v>
      </c>
      <c r="B20" s="1" t="s">
        <v>28</v>
      </c>
      <c r="C20" s="1" t="s">
        <v>12</v>
      </c>
      <c r="D20" s="1">
        <v>31</v>
      </c>
      <c r="E20" s="1">
        <v>42</v>
      </c>
      <c r="F20" s="1">
        <v>72</v>
      </c>
      <c r="G20" s="5">
        <v>3</v>
      </c>
      <c r="H20" s="18">
        <f>Table17[[#This Row],[Tasks_Completed]]/Table17[[#This Row],[Hours_Worked]]</f>
        <v>1.3548387096774193</v>
      </c>
    </row>
    <row r="21" spans="1:8" ht="15.75" customHeight="1" x14ac:dyDescent="0.25">
      <c r="A21" s="3">
        <v>103</v>
      </c>
      <c r="B21" s="1" t="s">
        <v>11</v>
      </c>
      <c r="C21" s="1" t="s">
        <v>12</v>
      </c>
      <c r="D21" s="1">
        <v>30</v>
      </c>
      <c r="E21" s="1">
        <v>40</v>
      </c>
      <c r="F21" s="1">
        <v>70</v>
      </c>
      <c r="G21" s="5">
        <v>3</v>
      </c>
      <c r="H21" s="18">
        <f>Table17[[#This Row],[Tasks_Completed]]/Table17[[#This Row],[Hours_Worked]]</f>
        <v>1.3333333333333333</v>
      </c>
    </row>
    <row r="22" spans="1:8" ht="15.75" customHeight="1" x14ac:dyDescent="0.25">
      <c r="A22" s="3">
        <v>111</v>
      </c>
      <c r="B22" s="1" t="s">
        <v>22</v>
      </c>
      <c r="C22" s="1" t="s">
        <v>16</v>
      </c>
      <c r="D22" s="1">
        <v>29</v>
      </c>
      <c r="E22" s="1">
        <v>38</v>
      </c>
      <c r="F22" s="1">
        <v>68</v>
      </c>
      <c r="G22" s="5">
        <v>3</v>
      </c>
      <c r="H22" s="18">
        <f>Table17[[#This Row],[Tasks_Completed]]/Table17[[#This Row],[Hours_Worked]]</f>
        <v>1.3103448275862069</v>
      </c>
    </row>
    <row r="23" spans="1:8" ht="15.75" customHeight="1" x14ac:dyDescent="0.25">
      <c r="A23" s="3">
        <v>121</v>
      </c>
      <c r="B23" s="1" t="s">
        <v>32</v>
      </c>
      <c r="C23" s="1" t="s">
        <v>16</v>
      </c>
      <c r="D23" s="1">
        <v>27</v>
      </c>
      <c r="E23" s="1">
        <v>34</v>
      </c>
      <c r="F23" s="1">
        <v>64</v>
      </c>
      <c r="G23" s="5">
        <v>2</v>
      </c>
      <c r="H23" s="18">
        <f>Table17[[#This Row],[Tasks_Completed]]/Table17[[#This Row],[Hours_Worked]]</f>
        <v>1.2592592592592593</v>
      </c>
    </row>
    <row r="24" spans="1:8" ht="15.75" customHeight="1" x14ac:dyDescent="0.25">
      <c r="A24" s="4">
        <v>108</v>
      </c>
      <c r="B24" s="2" t="s">
        <v>19</v>
      </c>
      <c r="C24" s="2" t="s">
        <v>12</v>
      </c>
      <c r="D24" s="2">
        <v>28</v>
      </c>
      <c r="E24" s="2">
        <v>35</v>
      </c>
      <c r="F24" s="2">
        <v>65</v>
      </c>
      <c r="G24" s="6">
        <v>3</v>
      </c>
      <c r="H24" s="18">
        <f>Table17[[#This Row],[Tasks_Completed]]/Table17[[#This Row],[Hours_Worked]]</f>
        <v>1.25</v>
      </c>
    </row>
    <row r="25" spans="1:8" ht="15.75" customHeight="1" x14ac:dyDescent="0.25">
      <c r="A25" s="4">
        <v>116</v>
      </c>
      <c r="B25" s="2" t="s">
        <v>27</v>
      </c>
      <c r="C25" s="2" t="s">
        <v>16</v>
      </c>
      <c r="D25" s="2">
        <v>26</v>
      </c>
      <c r="E25" s="2">
        <v>32</v>
      </c>
      <c r="F25" s="2">
        <v>62</v>
      </c>
      <c r="G25" s="6">
        <v>2</v>
      </c>
      <c r="H25" s="18">
        <f>Table17[[#This Row],[Tasks_Completed]]/Table17[[#This Row],[Hours_Worked]]</f>
        <v>1.2307692307692308</v>
      </c>
    </row>
    <row r="26" spans="1:8" ht="15.75" customHeight="1" x14ac:dyDescent="0.25">
      <c r="A26" s="10">
        <v>105</v>
      </c>
      <c r="B26" s="11" t="s">
        <v>15</v>
      </c>
      <c r="C26" s="11" t="s">
        <v>16</v>
      </c>
      <c r="D26" s="11">
        <v>25</v>
      </c>
      <c r="E26" s="11">
        <v>30</v>
      </c>
      <c r="F26" s="11">
        <v>60</v>
      </c>
      <c r="G26" s="12">
        <v>2</v>
      </c>
      <c r="H26" s="20">
        <f>Table17[[#This Row],[Tasks_Completed]]/Table17[[#This Row],[Hours_Worked]]</f>
        <v>1.2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1 a &amp; b</vt:lpstr>
      <vt:lpstr>2</vt:lpstr>
      <vt:lpstr>3</vt:lpstr>
      <vt:lpstr>4 a,b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DIPANJAN DUTTA</cp:lastModifiedBy>
  <dcterms:modified xsi:type="dcterms:W3CDTF">2026-03-10T15:23:52Z</dcterms:modified>
</cp:coreProperties>
</file>